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ri\Documents\카카오톡 받은 파일\"/>
    </mc:Choice>
  </mc:AlternateContent>
  <xr:revisionPtr revIDLastSave="0" documentId="13_ncr:1_{EDBA2760-3C25-405F-A4D1-9D09FB23D528}" xr6:coauthVersionLast="47" xr6:coauthVersionMax="47" xr10:uidLastSave="{00000000-0000-0000-0000-000000000000}"/>
  <bookViews>
    <workbookView xWindow="-110" yWindow="-110" windowWidth="38620" windowHeight="21100" tabRatio="1000" xr2:uid="{00000000-000D-0000-FFFF-FFFF00000000}"/>
  </bookViews>
  <sheets>
    <sheet name="견적서" sheetId="65" r:id="rId1"/>
  </sheets>
  <definedNames>
    <definedName name="HTML_CodePage" hidden="1">949</definedName>
    <definedName name="HTML_Control" hidden="1">{"'7'!$B$15:$D$32"}</definedName>
    <definedName name="HTML_Description" hidden="1">""</definedName>
    <definedName name="HTML_Email" hidden="1">""</definedName>
    <definedName name="HTML_Header" hidden="1">"7"</definedName>
    <definedName name="HTML_LastUpdate" hidden="1">"99-02-01"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Documents\외식사업\신규사업검토\MyHTML.htm"</definedName>
    <definedName name="HTML_Title" hidden="1">"천호입점검토－섬마을"</definedName>
    <definedName name="_xlnm.Print_Area" localSheetId="0">견적서!$B$1:$K$41</definedName>
    <definedName name="_xlnm.Print_Area">#REF!</definedName>
    <definedName name="ㄴㄱㅇㅅㄹㄴㄷㄱㅀㅅㄴ" localSheetId="0">#REF!</definedName>
    <definedName name="ㄴㄱㅇㅅㄹㄴㄷㄱㅀㅅㄴ">#REF!</definedName>
    <definedName name="단체매출" hidden="1">{"'7'!$B$15:$D$32"}</definedName>
    <definedName name="상권" hidden="1">{"'7'!$B$15:$D$32"}</definedName>
    <definedName name="ㅇㅇ" hidden="1">{"'7'!$B$15:$D$32"}</definedName>
    <definedName name="요약1" hidden="1">{"'7'!$B$15:$D$32"}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65" l="1"/>
  <c r="O2" i="65"/>
  <c r="O1" i="65"/>
</calcChain>
</file>

<file path=xl/sharedStrings.xml><?xml version="1.0" encoding="utf-8"?>
<sst xmlns="http://schemas.openxmlformats.org/spreadsheetml/2006/main" count="98" uniqueCount="75">
  <si>
    <t>DATE</t>
    <phoneticPr fontId="2" type="noConversion"/>
  </si>
  <si>
    <t>포함사항</t>
    <phoneticPr fontId="2" type="noConversion"/>
  </si>
  <si>
    <t>불포함사항</t>
    <phoneticPr fontId="2" type="noConversion"/>
  </si>
  <si>
    <t>TIME</t>
    <phoneticPr fontId="2" type="noConversion"/>
  </si>
  <si>
    <t>PLACE</t>
    <phoneticPr fontId="2" type="noConversion"/>
  </si>
  <si>
    <t>MEALS</t>
    <phoneticPr fontId="7" type="noConversion"/>
  </si>
  <si>
    <t>ITINERARY</t>
    <phoneticPr fontId="2" type="noConversion"/>
  </si>
  <si>
    <t>TRANS</t>
    <phoneticPr fontId="2" type="noConversion"/>
  </si>
  <si>
    <t>전용차량</t>
    <phoneticPr fontId="2" type="noConversion"/>
  </si>
  <si>
    <t>※ 상기 일정은 항공 및 현지사정, 천재지변 등으로 인해 다소 변경될 수 있으나, 행사에 최선을 다하겠습니다.</t>
    <phoneticPr fontId="7" type="noConversion"/>
  </si>
  <si>
    <t>1일차</t>
    <phoneticPr fontId="12" type="noConversion"/>
  </si>
  <si>
    <t>치앙마이</t>
    <phoneticPr fontId="2" type="noConversion"/>
  </si>
  <si>
    <t>2일차</t>
    <phoneticPr fontId="12" type="noConversion"/>
  </si>
  <si>
    <t xml:space="preserve"> 치앙마이 국제공항 도착 후 가이드 미팅</t>
    <phoneticPr fontId="2" type="noConversion"/>
  </si>
  <si>
    <t>* 참고 사항 *</t>
    <phoneticPr fontId="2" type="noConversion"/>
  </si>
  <si>
    <t>수  신</t>
    <phoneticPr fontId="2" type="noConversion"/>
  </si>
  <si>
    <t>견 적 일</t>
    <phoneticPr fontId="2" type="noConversion"/>
  </si>
  <si>
    <t>호  텔</t>
    <phoneticPr fontId="2" type="noConversion"/>
  </si>
  <si>
    <t>인  원</t>
    <phoneticPr fontId="2" type="noConversion"/>
  </si>
  <si>
    <t>발  신</t>
    <phoneticPr fontId="2" type="noConversion"/>
  </si>
  <si>
    <t>기  간</t>
    <phoneticPr fontId="2" type="noConversion"/>
  </si>
  <si>
    <t>지 상 비</t>
    <phoneticPr fontId="2" type="noConversion"/>
  </si>
  <si>
    <t xml:space="preserve"> 중식 후 </t>
    <phoneticPr fontId="2" type="noConversion"/>
  </si>
  <si>
    <t>전 일</t>
    <phoneticPr fontId="2" type="noConversion"/>
  </si>
  <si>
    <t>3일차</t>
    <phoneticPr fontId="12" type="noConversion"/>
  </si>
  <si>
    <t xml:space="preserve"> 석식 후 호텔 투숙</t>
    <phoneticPr fontId="2" type="noConversion"/>
  </si>
  <si>
    <t xml:space="preserve"> 기상 및 호텔 조식</t>
    <phoneticPr fontId="2" type="noConversion"/>
  </si>
  <si>
    <t>중:불포함</t>
    <phoneticPr fontId="2" type="noConversion"/>
  </si>
  <si>
    <t>5일차</t>
    <phoneticPr fontId="2" type="noConversion"/>
  </si>
  <si>
    <t>조:호텔식</t>
    <phoneticPr fontId="2" type="noConversion"/>
  </si>
  <si>
    <t>골드캐년투어 / 서원범 부장</t>
    <phoneticPr fontId="2" type="noConversion"/>
  </si>
  <si>
    <t>4일차</t>
    <phoneticPr fontId="12" type="noConversion"/>
  </si>
  <si>
    <t xml:space="preserve"> 추가라운드 또는 호텔로 이동 후 휴식</t>
    <phoneticPr fontId="2" type="noConversion"/>
  </si>
  <si>
    <t>토</t>
    <phoneticPr fontId="2" type="noConversion"/>
  </si>
  <si>
    <t>사용 골프장</t>
    <phoneticPr fontId="2" type="noConversion"/>
  </si>
  <si>
    <t xml:space="preserve"> 호텔로 이동 후 체크인 및 투숙</t>
    <phoneticPr fontId="2" type="noConversion"/>
  </si>
  <si>
    <t xml:space="preserve"> 골프장 중 1곳 18홀 라운드</t>
    <phoneticPr fontId="2" type="noConversion"/>
  </si>
  <si>
    <t xml:space="preserve"> 치앙마이 공항 출발</t>
    <phoneticPr fontId="2" type="noConversion"/>
  </si>
  <si>
    <t xml:space="preserve"> 추가라운드 또는 자유 일정</t>
    <phoneticPr fontId="2" type="noConversion"/>
  </si>
  <si>
    <t xml:space="preserve"> 석식 후 공항으로 이동</t>
    <phoneticPr fontId="2" type="noConversion"/>
  </si>
  <si>
    <t>싱 글 룸</t>
    <phoneticPr fontId="2" type="noConversion"/>
  </si>
  <si>
    <t xml:space="preserve"> 호텔(2인 1실), 식사(조,석), 전용차량(15인승 봉고), [1일 18홀 *3회] 그린피+캐디피+전동카, 
 한국인가이드, 기사&amp;가이드 경비 </t>
    <phoneticPr fontId="2" type="noConversion"/>
  </si>
  <si>
    <t xml:space="preserve"> 항공료(유류&amp;택스), 클럽중식($10~/끼니), 캐디팁(350-400바트/18홀/인), 기타 개인 경비</t>
    <phoneticPr fontId="2" type="noConversion"/>
  </si>
  <si>
    <t>석:보쌈정식</t>
    <phoneticPr fontId="2" type="noConversion"/>
  </si>
  <si>
    <t>석:샤브샤브</t>
    <phoneticPr fontId="2" type="noConversion"/>
  </si>
  <si>
    <t>석:삼겹살무제한</t>
    <phoneticPr fontId="2" type="noConversion"/>
  </si>
  <si>
    <r>
      <t xml:space="preserve"> * 아직 하계 요금이 미정이어서 </t>
    </r>
    <r>
      <rPr>
        <b/>
        <sz val="9"/>
        <color rgb="FFC00000"/>
        <rFont val="맑은 고딕"/>
        <family val="3"/>
        <charset val="129"/>
      </rPr>
      <t>작년 기준 예상가로 드립니다.</t>
    </r>
    <phoneticPr fontId="2" type="noConversion"/>
  </si>
  <si>
    <t xml:space="preserve"> * 석식은 끼니당 300바트 기준 입니다.</t>
    <phoneticPr fontId="2" type="noConversion"/>
  </si>
  <si>
    <t>[ 캐리골프투어 ] 치앙마이 호텔 골프 3박 5일 견적서</t>
    <phoneticPr fontId="2" type="noConversion"/>
  </si>
  <si>
    <t>캐리골프투어 / 장지수 대표님</t>
    <phoneticPr fontId="2" type="noConversion"/>
  </si>
  <si>
    <t>2025년 2월 10일 (월)</t>
    <phoneticPr fontId="2" type="noConversion"/>
  </si>
  <si>
    <t>칸타리힐즈 또는 윈트리시티 동급 (준 5성)</t>
    <phoneticPr fontId="2" type="noConversion"/>
  </si>
  <si>
    <t>4 명 / 2 트윈</t>
    <phoneticPr fontId="2" type="noConversion"/>
  </si>
  <si>
    <t>* HOTEL : 칸타리힐즈 또는 윈트리시티 동급 (준 5성)</t>
    <phoneticPr fontId="2" type="noConversion"/>
  </si>
  <si>
    <t xml:space="preserve"> 파노라마 / 레가시 / 메조 / 로얄 / 노스힐 / 쿤탄 중 2회
 하이랜드 / 알파인 중 1회</t>
    <phoneticPr fontId="2" type="noConversion"/>
  </si>
  <si>
    <t>일</t>
    <phoneticPr fontId="2" type="noConversion"/>
  </si>
  <si>
    <t>5 만원 / 박당 / 인당</t>
    <phoneticPr fontId="2" type="noConversion"/>
  </si>
  <si>
    <t xml:space="preserve">1인 - 75 만원 </t>
    <phoneticPr fontId="2" type="noConversion"/>
  </si>
  <si>
    <t xml:space="preserve"> * 노쇼핑 입니다. 두앙따완 또는 동급 (정 4성) 진행시 1인 - 71 만원 입니다. (싱글룸 4 만원 / 박당 / 인당)</t>
    <phoneticPr fontId="2" type="noConversion"/>
  </si>
  <si>
    <t>부 산</t>
    <phoneticPr fontId="2" type="noConversion"/>
  </si>
  <si>
    <t xml:space="preserve"> 부산 김해 국제공항 출발</t>
    <phoneticPr fontId="7" type="noConversion"/>
  </si>
  <si>
    <t>석:</t>
    <phoneticPr fontId="2" type="noConversion"/>
  </si>
  <si>
    <t xml:space="preserve"> </t>
    <phoneticPr fontId="2" type="noConversion"/>
  </si>
  <si>
    <t xml:space="preserve"> 부산 김해 국제공항 도착</t>
    <phoneticPr fontId="2" type="noConversion"/>
  </si>
  <si>
    <t>조:</t>
    <phoneticPr fontId="2" type="noConversion"/>
  </si>
  <si>
    <t>2025년 4월 17일 - 4월 21일</t>
    <phoneticPr fontId="2" type="noConversion"/>
  </si>
  <si>
    <t>목</t>
    <phoneticPr fontId="2" type="noConversion"/>
  </si>
  <si>
    <t>금</t>
    <phoneticPr fontId="2" type="noConversion"/>
  </si>
  <si>
    <t xml:space="preserve"> * 항공 예상가 - 항공료 42 만원 + 유류텍스 약 13 만원 : 55 만원/인 입니다.
   예약 시점에 따라 항공료 변경 될 수 있다는 점 참고 바랍니다.</t>
    <phoneticPr fontId="2" type="noConversion"/>
  </si>
  <si>
    <t>18:55</t>
    <phoneticPr fontId="2" type="noConversion"/>
  </si>
  <si>
    <t>21:10</t>
    <phoneticPr fontId="2" type="noConversion"/>
  </si>
  <si>
    <t>22:10</t>
    <phoneticPr fontId="2" type="noConversion"/>
  </si>
  <si>
    <t>06:05</t>
    <phoneticPr fontId="2" type="noConversion"/>
  </si>
  <si>
    <t>ZE 917</t>
    <phoneticPr fontId="2" type="noConversion"/>
  </si>
  <si>
    <t>ZE 918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</si>
</sst>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m&quot;/&quot;d;@"/>
    <numFmt numFmtId="177" formatCode="aaa"/>
    <numFmt numFmtId="178" formatCode="#,##0_ 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8"/>
      <name val="굴림"/>
      <family val="3"/>
      <charset val="129"/>
    </font>
    <font>
      <sz val="11"/>
      <color theme="1"/>
      <name val="휴먼옛체"/>
      <family val="1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¹ÙÅÁÃ¼"/>
      <family val="3"/>
      <charset val="129"/>
    </font>
    <font>
      <sz val="7"/>
      <name val="돋움"/>
      <family val="3"/>
      <charset val="129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바탕체"/>
      <family val="1"/>
      <charset val="129"/>
    </font>
    <font>
      <sz val="12"/>
      <name val="바탕체"/>
      <family val="1"/>
      <charset val="129"/>
    </font>
    <font>
      <b/>
      <sz val="10"/>
      <name val="굴림"/>
      <family val="3"/>
      <charset val="129"/>
    </font>
    <font>
      <b/>
      <sz val="9"/>
      <name val="맑은 고딕"/>
      <family val="3"/>
      <charset val="129"/>
      <scheme val="major"/>
    </font>
    <font>
      <sz val="12"/>
      <name val="???"/>
      <family val="1"/>
    </font>
    <font>
      <sz val="12"/>
      <name val="뼻뮝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1"/>
      <name val="￥i￠￢￠?o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µ¸¿òÃ¼"/>
      <family val="3"/>
      <charset val="129"/>
    </font>
    <font>
      <sz val="12"/>
      <name val="ⓒoUAAA¨u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A¼"/>
      <family val="3"/>
      <charset val="129"/>
    </font>
    <font>
      <sz val="12"/>
      <name val="퉆AAA "/>
      <family val="3"/>
      <charset val="129"/>
    </font>
    <font>
      <sz val="12"/>
      <name val="System"/>
      <family val="2"/>
      <charset val="129"/>
    </font>
    <font>
      <sz val="10"/>
      <name val="굴림A "/>
      <family val="3"/>
      <charset val="129"/>
    </font>
    <font>
      <sz val="10"/>
      <name val="±¼¸²Ã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1"/>
      <name val="¹ÙÅÁÃ¼"/>
      <family val="3"/>
      <charset val="129"/>
    </font>
    <font>
      <sz val="10"/>
      <name val="±¼¸²A¼"/>
      <family val="3"/>
      <charset val="129"/>
    </font>
    <font>
      <b/>
      <sz val="1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</font>
    <font>
      <sz val="16"/>
      <name val="휴먼엑스포"/>
      <family val="1"/>
      <charset val="129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ajor"/>
    </font>
    <font>
      <b/>
      <sz val="9"/>
      <color rgb="FFC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05">
    <xf numFmtId="0" fontId="0" fillId="0" borderId="0"/>
    <xf numFmtId="42" fontId="1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0" fontId="13" fillId="0" borderId="0"/>
    <xf numFmtId="0" fontId="16" fillId="0" borderId="0" applyFont="0" applyFill="0" applyBorder="0" applyAlignment="0" applyProtection="0"/>
    <xf numFmtId="0" fontId="17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1" fillId="0" borderId="0"/>
    <xf numFmtId="0" fontId="21" fillId="0" borderId="0"/>
    <xf numFmtId="0" fontId="30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3" fillId="0" borderId="0"/>
    <xf numFmtId="0" fontId="22" fillId="0" borderId="0"/>
    <xf numFmtId="0" fontId="23" fillId="0" borderId="0"/>
    <xf numFmtId="0" fontId="7" fillId="0" borderId="0"/>
    <xf numFmtId="0" fontId="21" fillId="0" borderId="0"/>
    <xf numFmtId="0" fontId="30" fillId="0" borderId="0"/>
    <xf numFmtId="0" fontId="30" fillId="0" borderId="0"/>
    <xf numFmtId="0" fontId="7" fillId="0" borderId="0"/>
    <xf numFmtId="0" fontId="23" fillId="0" borderId="0"/>
    <xf numFmtId="0" fontId="7" fillId="0" borderId="0"/>
    <xf numFmtId="0" fontId="23" fillId="0" borderId="0"/>
    <xf numFmtId="0" fontId="22" fillId="0" borderId="0"/>
    <xf numFmtId="0" fontId="21" fillId="0" borderId="0"/>
    <xf numFmtId="0" fontId="7" fillId="0" borderId="0"/>
    <xf numFmtId="0" fontId="30" fillId="0" borderId="0" applyNumberFormat="0"/>
    <xf numFmtId="0" fontId="30" fillId="0" borderId="0" applyNumberFormat="0"/>
    <xf numFmtId="0" fontId="30" fillId="0" borderId="0" applyNumberFormat="0"/>
    <xf numFmtId="0" fontId="30" fillId="0" borderId="0" applyNumberFormat="0"/>
    <xf numFmtId="0" fontId="30" fillId="0" borderId="0" applyNumberFormat="0"/>
    <xf numFmtId="0" fontId="24" fillId="0" borderId="0"/>
    <xf numFmtId="0" fontId="28" fillId="0" borderId="0"/>
    <xf numFmtId="0" fontId="32" fillId="0" borderId="0"/>
    <xf numFmtId="0" fontId="23" fillId="0" borderId="0"/>
    <xf numFmtId="0" fontId="7" fillId="0" borderId="0"/>
    <xf numFmtId="0" fontId="21" fillId="0" borderId="0"/>
    <xf numFmtId="0" fontId="22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3" fillId="0" borderId="0"/>
    <xf numFmtId="0" fontId="22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2" fillId="0" borderId="0"/>
    <xf numFmtId="0" fontId="21" fillId="0" borderId="0"/>
    <xf numFmtId="0" fontId="7" fillId="0" borderId="0"/>
    <xf numFmtId="0" fontId="21" fillId="0" borderId="0"/>
    <xf numFmtId="0" fontId="35" fillId="0" borderId="0"/>
    <xf numFmtId="0" fontId="23" fillId="0" borderId="0"/>
    <xf numFmtId="0" fontId="22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8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32" fillId="0" borderId="0"/>
    <xf numFmtId="0" fontId="36" fillId="0" borderId="0"/>
    <xf numFmtId="0" fontId="32" fillId="0" borderId="0"/>
    <xf numFmtId="0" fontId="36" fillId="0" borderId="0"/>
    <xf numFmtId="0" fontId="32" fillId="0" borderId="0"/>
    <xf numFmtId="0" fontId="21" fillId="0" borderId="0"/>
    <xf numFmtId="0" fontId="7" fillId="0" borderId="0"/>
    <xf numFmtId="0" fontId="21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8" fillId="0" borderId="0"/>
    <xf numFmtId="0" fontId="1" fillId="0" borderId="0">
      <alignment vertical="center"/>
    </xf>
    <xf numFmtId="0" fontId="40" fillId="0" borderId="0">
      <alignment vertical="center"/>
    </xf>
  </cellStyleXfs>
  <cellXfs count="11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2" applyFont="1" applyAlignment="1">
      <alignment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2" applyFont="1" applyAlignment="1">
      <alignment horizontal="center" vertical="center"/>
    </xf>
    <xf numFmtId="49" fontId="6" fillId="0" borderId="5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49" fontId="6" fillId="0" borderId="7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49" fontId="15" fillId="2" borderId="7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49" fontId="15" fillId="0" borderId="7" xfId="2" applyNumberFormat="1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5" fillId="2" borderId="29" xfId="0" applyFont="1" applyFill="1" applyBorder="1" applyAlignment="1">
      <alignment horizontal="center" vertical="center"/>
    </xf>
    <xf numFmtId="176" fontId="11" fillId="0" borderId="31" xfId="2" applyNumberFormat="1" applyFont="1" applyBorder="1" applyAlignment="1">
      <alignment horizontal="center" vertical="center"/>
    </xf>
    <xf numFmtId="0" fontId="6" fillId="0" borderId="32" xfId="2" applyFont="1" applyBorder="1" applyAlignment="1">
      <alignment horizontal="left" vertical="center"/>
    </xf>
    <xf numFmtId="0" fontId="6" fillId="0" borderId="32" xfId="2" applyFont="1" applyBorder="1" applyAlignment="1">
      <alignment horizontal="left" vertical="center" wrapText="1"/>
    </xf>
    <xf numFmtId="176" fontId="11" fillId="0" borderId="29" xfId="2" applyNumberFormat="1" applyFont="1" applyBorder="1" applyAlignment="1">
      <alignment horizontal="center" vertical="center"/>
    </xf>
    <xf numFmtId="0" fontId="15" fillId="0" borderId="30" xfId="2" applyFont="1" applyBorder="1" applyAlignment="1">
      <alignment vertical="center" wrapText="1"/>
    </xf>
    <xf numFmtId="176" fontId="11" fillId="0" borderId="33" xfId="2" applyNumberFormat="1" applyFont="1" applyBorder="1" applyAlignment="1">
      <alignment horizontal="center" vertical="center"/>
    </xf>
    <xf numFmtId="0" fontId="6" fillId="0" borderId="30" xfId="2" applyFont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6" fillId="0" borderId="34" xfId="2" applyFont="1" applyBorder="1" applyAlignment="1">
      <alignment horizontal="left" vertical="center"/>
    </xf>
    <xf numFmtId="49" fontId="15" fillId="0" borderId="5" xfId="2" applyNumberFormat="1" applyFont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177" fontId="11" fillId="0" borderId="31" xfId="2" applyNumberFormat="1" applyFont="1" applyBorder="1" applyAlignment="1">
      <alignment horizontal="center" vertical="center"/>
    </xf>
    <xf numFmtId="49" fontId="6" fillId="0" borderId="46" xfId="2" applyNumberFormat="1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49" fontId="15" fillId="0" borderId="46" xfId="2" applyNumberFormat="1" applyFont="1" applyBorder="1" applyAlignment="1">
      <alignment horizontal="center" vertical="center"/>
    </xf>
    <xf numFmtId="0" fontId="6" fillId="0" borderId="3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6" fillId="0" borderId="6" xfId="2" applyFont="1" applyBorder="1" applyAlignment="1">
      <alignment vertical="center"/>
    </xf>
    <xf numFmtId="0" fontId="4" fillId="0" borderId="0" xfId="0" applyFont="1" applyAlignment="1">
      <alignment horizontal="right" vertical="center" wrapText="1"/>
    </xf>
    <xf numFmtId="0" fontId="39" fillId="0" borderId="23" xfId="0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41" fillId="2" borderId="25" xfId="0" applyFont="1" applyFill="1" applyBorder="1" applyAlignment="1">
      <alignment horizontal="center" vertical="center"/>
    </xf>
    <xf numFmtId="0" fontId="41" fillId="2" borderId="22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176" fontId="43" fillId="0" borderId="37" xfId="0" applyNumberFormat="1" applyFont="1" applyBorder="1" applyAlignment="1">
      <alignment horizontal="center" vertical="center" wrapText="1"/>
    </xf>
    <xf numFmtId="0" fontId="41" fillId="2" borderId="39" xfId="0" applyFont="1" applyFill="1" applyBorder="1" applyAlignment="1">
      <alignment horizontal="center" vertical="center" wrapText="1"/>
    </xf>
    <xf numFmtId="0" fontId="41" fillId="2" borderId="37" xfId="0" applyFont="1" applyFill="1" applyBorder="1" applyAlignment="1">
      <alignment horizontal="center" vertical="center" wrapText="1"/>
    </xf>
    <xf numFmtId="6" fontId="44" fillId="0" borderId="37" xfId="1" applyNumberFormat="1" applyFont="1" applyFill="1" applyBorder="1" applyAlignment="1">
      <alignment horizontal="center" vertical="center"/>
    </xf>
    <xf numFmtId="6" fontId="44" fillId="0" borderId="38" xfId="1" applyNumberFormat="1" applyFont="1" applyFill="1" applyBorder="1" applyAlignment="1">
      <alignment horizontal="center" vertical="center"/>
    </xf>
    <xf numFmtId="6" fontId="44" fillId="0" borderId="37" xfId="1" applyNumberFormat="1" applyFont="1" applyFill="1" applyBorder="1" applyAlignment="1">
      <alignment horizontal="center" vertical="center" wrapText="1"/>
    </xf>
    <xf numFmtId="176" fontId="45" fillId="0" borderId="3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4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6" fillId="0" borderId="8" xfId="2" applyFont="1" applyBorder="1" applyAlignment="1">
      <alignment vertical="center" wrapText="1"/>
    </xf>
    <xf numFmtId="0" fontId="6" fillId="0" borderId="11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6" fillId="0" borderId="10" xfId="2" applyFont="1" applyBorder="1" applyAlignment="1">
      <alignment vertical="center"/>
    </xf>
    <xf numFmtId="0" fontId="46" fillId="0" borderId="3" xfId="2" applyFont="1" applyBorder="1" applyAlignment="1">
      <alignment vertical="center"/>
    </xf>
    <xf numFmtId="0" fontId="46" fillId="0" borderId="0" xfId="2" applyFont="1" applyAlignment="1">
      <alignment vertical="center"/>
    </xf>
    <xf numFmtId="0" fontId="46" fillId="0" borderId="6" xfId="2" applyFont="1" applyBorder="1" applyAlignment="1">
      <alignment vertical="center"/>
    </xf>
    <xf numFmtId="0" fontId="6" fillId="0" borderId="3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14" xfId="2" applyFont="1" applyBorder="1" applyAlignment="1">
      <alignment vertical="center" wrapText="1"/>
    </xf>
    <xf numFmtId="0" fontId="6" fillId="0" borderId="15" xfId="2" applyFont="1" applyBorder="1" applyAlignment="1">
      <alignment vertical="center" wrapText="1"/>
    </xf>
    <xf numFmtId="0" fontId="6" fillId="0" borderId="16" xfId="2" applyFont="1" applyBorder="1" applyAlignment="1">
      <alignment vertical="center" wrapText="1"/>
    </xf>
    <xf numFmtId="0" fontId="15" fillId="3" borderId="12" xfId="2" applyFont="1" applyFill="1" applyBorder="1" applyAlignment="1">
      <alignment vertical="center" wrapText="1"/>
    </xf>
    <xf numFmtId="0" fontId="15" fillId="3" borderId="13" xfId="2" applyFont="1" applyFill="1" applyBorder="1" applyAlignment="1">
      <alignment vertical="center" wrapText="1"/>
    </xf>
    <xf numFmtId="0" fontId="15" fillId="3" borderId="17" xfId="2" applyFont="1" applyFill="1" applyBorder="1" applyAlignment="1">
      <alignment vertical="center" wrapText="1"/>
    </xf>
    <xf numFmtId="6" fontId="41" fillId="0" borderId="37" xfId="1" applyNumberFormat="1" applyFont="1" applyFill="1" applyBorder="1" applyAlignment="1">
      <alignment horizontal="center" vertical="center"/>
    </xf>
    <xf numFmtId="6" fontId="41" fillId="0" borderId="38" xfId="1" applyNumberFormat="1" applyFont="1" applyFill="1" applyBorder="1" applyAlignment="1">
      <alignment horizontal="center" vertical="center"/>
    </xf>
    <xf numFmtId="0" fontId="41" fillId="2" borderId="36" xfId="0" applyFont="1" applyFill="1" applyBorder="1" applyAlignment="1">
      <alignment horizontal="center" vertical="center"/>
    </xf>
    <xf numFmtId="0" fontId="41" fillId="2" borderId="35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42" fillId="0" borderId="28" xfId="0" applyFont="1" applyBorder="1" applyAlignment="1">
      <alignment horizontal="left" vertical="center"/>
    </xf>
    <xf numFmtId="0" fontId="38" fillId="0" borderId="11" xfId="0" applyFont="1" applyBorder="1" applyAlignment="1">
      <alignment horizontal="left" vertical="center"/>
    </xf>
    <xf numFmtId="0" fontId="38" fillId="0" borderId="9" xfId="0" applyFont="1" applyBorder="1" applyAlignment="1">
      <alignment horizontal="left" vertical="center"/>
    </xf>
    <xf numFmtId="0" fontId="38" fillId="0" borderId="24" xfId="0" applyFont="1" applyBorder="1" applyAlignment="1">
      <alignment horizontal="left" vertical="center"/>
    </xf>
    <xf numFmtId="0" fontId="6" fillId="0" borderId="3" xfId="2" applyFont="1" applyBorder="1" applyAlignment="1">
      <alignment vertical="center" wrapText="1"/>
    </xf>
    <xf numFmtId="0" fontId="6" fillId="0" borderId="0" xfId="2" applyFont="1" applyAlignment="1">
      <alignment vertical="center" wrapText="1"/>
    </xf>
    <xf numFmtId="0" fontId="6" fillId="0" borderId="6" xfId="2" applyFont="1" applyBorder="1" applyAlignment="1">
      <alignment vertical="center" wrapText="1"/>
    </xf>
    <xf numFmtId="0" fontId="42" fillId="0" borderId="3" xfId="0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0" borderId="45" xfId="0" applyFont="1" applyBorder="1" applyAlignment="1">
      <alignment horizontal="left" vertical="center"/>
    </xf>
    <xf numFmtId="0" fontId="6" fillId="0" borderId="11" xfId="3" applyFont="1" applyBorder="1" applyAlignment="1">
      <alignment vertical="center"/>
    </xf>
    <xf numFmtId="0" fontId="6" fillId="0" borderId="9" xfId="3" applyFont="1" applyBorder="1" applyAlignment="1">
      <alignment vertical="center"/>
    </xf>
    <xf numFmtId="0" fontId="6" fillId="0" borderId="10" xfId="3" applyFont="1" applyBorder="1" applyAlignment="1">
      <alignment vertical="center"/>
    </xf>
    <xf numFmtId="0" fontId="6" fillId="0" borderId="3" xfId="3" applyFont="1" applyBorder="1" applyAlignment="1">
      <alignment vertical="center"/>
    </xf>
    <xf numFmtId="0" fontId="6" fillId="0" borderId="0" xfId="3" applyFont="1" applyAlignment="1">
      <alignment vertical="center"/>
    </xf>
    <xf numFmtId="0" fontId="6" fillId="0" borderId="6" xfId="3" applyFont="1" applyBorder="1" applyAlignment="1">
      <alignment vertical="center"/>
    </xf>
    <xf numFmtId="0" fontId="6" fillId="0" borderId="14" xfId="2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42" fillId="5" borderId="3" xfId="0" applyFont="1" applyFill="1" applyBorder="1" applyAlignment="1">
      <alignment horizontal="left" vertical="center" wrapText="1"/>
    </xf>
    <xf numFmtId="0" fontId="42" fillId="5" borderId="0" xfId="0" applyFont="1" applyFill="1" applyAlignment="1">
      <alignment horizontal="left" vertical="center"/>
    </xf>
    <xf numFmtId="0" fontId="42" fillId="5" borderId="45" xfId="0" applyFont="1" applyFill="1" applyBorder="1" applyAlignment="1">
      <alignment horizontal="left" vertical="center"/>
    </xf>
    <xf numFmtId="0" fontId="37" fillId="4" borderId="23" xfId="0" applyFont="1" applyFill="1" applyBorder="1" applyAlignment="1">
      <alignment horizontal="center" vertical="center" wrapText="1"/>
    </xf>
    <xf numFmtId="0" fontId="37" fillId="4" borderId="10" xfId="0" applyFont="1" applyFill="1" applyBorder="1" applyAlignment="1">
      <alignment horizontal="center" vertical="center" wrapText="1"/>
    </xf>
    <xf numFmtId="0" fontId="37" fillId="4" borderId="44" xfId="0" applyFont="1" applyFill="1" applyBorder="1" applyAlignment="1">
      <alignment horizontal="center" vertical="center" wrapText="1"/>
    </xf>
    <xf numFmtId="0" fontId="37" fillId="4" borderId="6" xfId="0" applyFont="1" applyFill="1" applyBorder="1" applyAlignment="1">
      <alignment horizontal="center" vertical="center" wrapText="1"/>
    </xf>
    <xf numFmtId="0" fontId="37" fillId="4" borderId="27" xfId="0" applyFont="1" applyFill="1" applyBorder="1" applyAlignment="1">
      <alignment horizontal="center" vertical="center" wrapText="1"/>
    </xf>
    <xf numFmtId="0" fontId="37" fillId="4" borderId="8" xfId="0" applyFont="1" applyFill="1" applyBorder="1" applyAlignment="1">
      <alignment horizontal="center" vertical="center" wrapText="1"/>
    </xf>
    <xf numFmtId="0" fontId="15" fillId="2" borderId="40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0" fontId="15" fillId="2" borderId="42" xfId="0" applyFont="1" applyFill="1" applyBorder="1" applyAlignment="1">
      <alignment horizontal="center" vertical="center"/>
    </xf>
    <xf numFmtId="178" fontId="0" fillId="0" borderId="0" xfId="0" applyNumberFormat="1" applyAlignment="1">
      <alignment vertical="center"/>
    </xf>
  </cellXfs>
  <cellStyles count="505">
    <cellStyle name="??&amp;O?&amp;H?_x0008__x000f__x0007_?_x0007__x0001__x0001_" xfId="4" xr:uid="{00000000-0005-0000-0000-000000000000}"/>
    <cellStyle name="??&amp;O?&amp;H?_x0008_??_x0007__x0001__x0001_" xfId="5" xr:uid="{00000000-0005-0000-0000-000001000000}"/>
    <cellStyle name="??_ ???? " xfId="6" xr:uid="{00000000-0005-0000-0000-000002000000}"/>
    <cellStyle name="A¨­￠￢￠O [0]_INQUIRY ￠?￥i¨u¡AAⓒ￢Aⓒª " xfId="255" xr:uid="{00000000-0005-0000-0000-000003000000}"/>
    <cellStyle name="A¨­￠￢￠O_INQUIRY ￠?￥i¨u¡AAⓒ￢Aⓒª " xfId="256" xr:uid="{00000000-0005-0000-0000-000004000000}"/>
    <cellStyle name="AeE­ [0]_ 2ÆAAþº° " xfId="257" xr:uid="{00000000-0005-0000-0000-000005000000}"/>
    <cellStyle name="ÅëÈ­ [0]_ 2ÆÀÃþº° " xfId="258" xr:uid="{00000000-0005-0000-0000-000006000000}"/>
    <cellStyle name="AeE­ [0]_ Æ?ÆCAþº° " xfId="259" xr:uid="{00000000-0005-0000-0000-000007000000}"/>
    <cellStyle name="ÅëÈ­ [0]_ Æ¯ÆÇÃþº° " xfId="260" xr:uid="{00000000-0005-0000-0000-000008000000}"/>
    <cellStyle name="AeE­ [0]_¸AAa¸AAa¿ø°¡ " xfId="261" xr:uid="{00000000-0005-0000-0000-000009000000}"/>
    <cellStyle name="ÅëÈ­ [0]_¸ÅÃâ¸ÅÃâ¿ø°¡ " xfId="262" xr:uid="{00000000-0005-0000-0000-00000A000000}"/>
    <cellStyle name="AeE­ [0]_¿uº¸¼o·a " xfId="263" xr:uid="{00000000-0005-0000-0000-00000B000000}"/>
    <cellStyle name="ÅëÈ­ [0]_¿ùº¸¼ö·á " xfId="264" xr:uid="{00000000-0005-0000-0000-00000C000000}"/>
    <cellStyle name="AeE­ [0]_°eE¹3 " xfId="265" xr:uid="{00000000-0005-0000-0000-00000D000000}"/>
    <cellStyle name="ÅëÈ­ [0]_°èÈ¹3 " xfId="266" xr:uid="{00000000-0005-0000-0000-00000E000000}"/>
    <cellStyle name="AeE­ [0]_°u¸RC×¸n_¾÷A¾º° " xfId="267" xr:uid="{00000000-0005-0000-0000-00000F000000}"/>
    <cellStyle name="ÅëÈ­ [0]_¼öÃâ½ÇÀû " xfId="268" xr:uid="{00000000-0005-0000-0000-000010000000}"/>
    <cellStyle name="AeE­ [0]_¼oAa½CAu _¹≪¿ª10¿u " xfId="269" xr:uid="{00000000-0005-0000-0000-000011000000}"/>
    <cellStyle name="ÅëÈ­ [0]_¼öÃâ½ÇÀû _2.È¿À²ºÐ¼® " xfId="270" xr:uid="{00000000-0005-0000-0000-000012000000}"/>
    <cellStyle name="AeE­ [0]_¼oAa½CAu _2.E¿A²ºÐ¼R " xfId="271" xr:uid="{00000000-0005-0000-0000-000013000000}"/>
    <cellStyle name="ÅëÈ­ [0]_¼öÃâ½ÇÀû _ÃµÈ£3¿ù " xfId="272" xr:uid="{00000000-0005-0000-0000-000014000000}"/>
    <cellStyle name="AeE­ [0]_¼oAa½CAu _AμE￡3¿u " xfId="273" xr:uid="{00000000-0005-0000-0000-000015000000}"/>
    <cellStyle name="ÅëÈ­ [0]_¼öÃâ½ÇÀû _Çö´ë¾÷¹«ÃßÁø " xfId="274" xr:uid="{00000000-0005-0000-0000-000016000000}"/>
    <cellStyle name="AeE­ [0]_¼oAa½CAu _Co´e¾÷¹≪AßAø " xfId="275" xr:uid="{00000000-0005-0000-0000-000017000000}"/>
    <cellStyle name="ÅëÈ­ [0]_¼ÕÀÍ¹Î´ö " xfId="276" xr:uid="{00000000-0005-0000-0000-000018000000}"/>
    <cellStyle name="AeE­ [0]_¾÷A¾º° " xfId="277" xr:uid="{00000000-0005-0000-0000-000019000000}"/>
    <cellStyle name="ÅëÈ­ [0]_¾÷Á¾º° " xfId="278" xr:uid="{00000000-0005-0000-0000-00001A000000}"/>
    <cellStyle name="AeE­ [0]_¹≪¿ªA¡Ca≫c°eE¹¼­ " xfId="279" xr:uid="{00000000-0005-0000-0000-00001B000000}"/>
    <cellStyle name="ÅëÈ­ [0]_2.È¿À²ºÐ¼® " xfId="280" xr:uid="{00000000-0005-0000-0000-00001C000000}"/>
    <cellStyle name="AeE­ [0]_2.E¿A²ºÐ¼R " xfId="281" xr:uid="{00000000-0005-0000-0000-00001D000000}"/>
    <cellStyle name="ÅëÈ­ [0]_2¿ù¸ÅÃâ " xfId="282" xr:uid="{00000000-0005-0000-0000-00001E000000}"/>
    <cellStyle name="AeE­ [0]_3ÆA °³AI " xfId="283" xr:uid="{00000000-0005-0000-0000-00001F000000}"/>
    <cellStyle name="ÅëÈ­ [0]_3ÆÀ °³ÀÎ " xfId="284" xr:uid="{00000000-0005-0000-0000-000020000000}"/>
    <cellStyle name="AeE­ [0]_96³a½A´cº°¼OAI " xfId="285" xr:uid="{00000000-0005-0000-0000-000021000000}"/>
    <cellStyle name="ÅëÈ­ [0]_96³â½Ä´çº°¼ÕÀÍ " xfId="286" xr:uid="{00000000-0005-0000-0000-000022000000}"/>
    <cellStyle name="AeE­ [0]_A|A¶1ºI1°u CoE² " xfId="287" xr:uid="{00000000-0005-0000-0000-000023000000}"/>
    <cellStyle name="ÅëÈ­ [0]_Á¦Á¶1ºÎ1°ú ÇöÈ² " xfId="288" xr:uid="{00000000-0005-0000-0000-000024000000}"/>
    <cellStyle name="AeE­ [0]_ÆAC￥Ao_°eE¹3 " xfId="289" xr:uid="{00000000-0005-0000-0000-000025000000}"/>
    <cellStyle name="ÅëÈ­ [0]_ÆÀÇ¥Áö_°èÈ¹3 " xfId="290" xr:uid="{00000000-0005-0000-0000-000026000000}"/>
    <cellStyle name="AeE­ [0]_AMT " xfId="291" xr:uid="{00000000-0005-0000-0000-000027000000}"/>
    <cellStyle name="ÅëÈ­ [0]_AMT " xfId="292" xr:uid="{00000000-0005-0000-0000-000028000000}"/>
    <cellStyle name="AeE­ [0]_AMT _¹≪¿ª10¿u " xfId="293" xr:uid="{00000000-0005-0000-0000-000029000000}"/>
    <cellStyle name="ÅëÈ­ [0]_AMT _2.È¿À²ºÐ¼® " xfId="294" xr:uid="{00000000-0005-0000-0000-00002A000000}"/>
    <cellStyle name="AeE­ [0]_AMT _2.E¿A²ºÐ¼R " xfId="295" xr:uid="{00000000-0005-0000-0000-00002B000000}"/>
    <cellStyle name="ÅëÈ­ [0]_AMT _ÃµÈ£3¿ù " xfId="296" xr:uid="{00000000-0005-0000-0000-00002C000000}"/>
    <cellStyle name="AeE­ [0]_AMT _AμE￡3¿u " xfId="297" xr:uid="{00000000-0005-0000-0000-00002D000000}"/>
    <cellStyle name="ÅëÈ­ [0]_Àü»êTB " xfId="298" xr:uid="{00000000-0005-0000-0000-00002E000000}"/>
    <cellStyle name="AeE­ [0]_Co´e¾÷¹≪AßAø " xfId="299" xr:uid="{00000000-0005-0000-0000-00002F000000}"/>
    <cellStyle name="ÅëÈ­ [0]_INQUIRY ¿µ¾÷ÃßÁø " xfId="300" xr:uid="{00000000-0005-0000-0000-000030000000}"/>
    <cellStyle name="AeE­ [0]_INQUIRY ¿μ¾÷AßAø " xfId="301" xr:uid="{00000000-0005-0000-0000-000031000000}"/>
    <cellStyle name="ÅëÈ­ [0]_º¸¼öÃÑ°ý " xfId="302" xr:uid="{00000000-0005-0000-0000-000032000000}"/>
    <cellStyle name="AeE­_ 2ÆAAþº° " xfId="303" xr:uid="{00000000-0005-0000-0000-000033000000}"/>
    <cellStyle name="ÅëÈ­_ 2ÆÀÃþº° " xfId="304" xr:uid="{00000000-0005-0000-0000-000034000000}"/>
    <cellStyle name="AeE­_ Æ?ÆCAþº° " xfId="305" xr:uid="{00000000-0005-0000-0000-000035000000}"/>
    <cellStyle name="ÅëÈ­_ Æ¯ÆÇÃþº° " xfId="306" xr:uid="{00000000-0005-0000-0000-000036000000}"/>
    <cellStyle name="AeE­_¸AAa¸AAa¿ø°¡ " xfId="307" xr:uid="{00000000-0005-0000-0000-000037000000}"/>
    <cellStyle name="ÅëÈ­_¸ÅÃâ¸ÅÃâ¿ø°¡ " xfId="308" xr:uid="{00000000-0005-0000-0000-000038000000}"/>
    <cellStyle name="AeE­_¿uº¸¼o·a " xfId="309" xr:uid="{00000000-0005-0000-0000-000039000000}"/>
    <cellStyle name="ÅëÈ­_¿ùº¸¼ö·á " xfId="310" xr:uid="{00000000-0005-0000-0000-00003A000000}"/>
    <cellStyle name="AeE­_°eE¹3 " xfId="311" xr:uid="{00000000-0005-0000-0000-00003B000000}"/>
    <cellStyle name="ÅëÈ­_°èÈ¹3 " xfId="312" xr:uid="{00000000-0005-0000-0000-00003C000000}"/>
    <cellStyle name="AeE­_°u¸RC×¸n_¾÷A¾º° " xfId="313" xr:uid="{00000000-0005-0000-0000-00003D000000}"/>
    <cellStyle name="ÅëÈ­_¼öÃâ½ÇÀû " xfId="314" xr:uid="{00000000-0005-0000-0000-00003E000000}"/>
    <cellStyle name="AeE­_¼oAa½CAu _¹≪¿ª10¿u " xfId="315" xr:uid="{00000000-0005-0000-0000-00003F000000}"/>
    <cellStyle name="ÅëÈ­_¼öÃâ½ÇÀû _2.È¿À²ºÐ¼® " xfId="316" xr:uid="{00000000-0005-0000-0000-000040000000}"/>
    <cellStyle name="AeE­_¼oAa½CAu _2.E¿A²ºÐ¼R " xfId="317" xr:uid="{00000000-0005-0000-0000-000041000000}"/>
    <cellStyle name="ÅëÈ­_¼öÃâ½ÇÀû _Çö´ë¾÷¹«ÃßÁø " xfId="318" xr:uid="{00000000-0005-0000-0000-000042000000}"/>
    <cellStyle name="AeE­_¼oAa½CAu _Co´e¾÷¹≪AßAø " xfId="319" xr:uid="{00000000-0005-0000-0000-000043000000}"/>
    <cellStyle name="ÅëÈ­_¼ÕÀÍ¹Î´ö " xfId="320" xr:uid="{00000000-0005-0000-0000-000044000000}"/>
    <cellStyle name="AeE­_¾÷A¾º° " xfId="321" xr:uid="{00000000-0005-0000-0000-000045000000}"/>
    <cellStyle name="ÅëÈ­_¾÷Á¾º° " xfId="322" xr:uid="{00000000-0005-0000-0000-000046000000}"/>
    <cellStyle name="AeE­_¹≪¿ªA¡Ca≫c°eE¹¼­ " xfId="323" xr:uid="{00000000-0005-0000-0000-000047000000}"/>
    <cellStyle name="ÅëÈ­_2.È¿À²ºÐ¼® " xfId="324" xr:uid="{00000000-0005-0000-0000-000048000000}"/>
    <cellStyle name="AeE­_2.E¿A²ºÐ¼R " xfId="325" xr:uid="{00000000-0005-0000-0000-000049000000}"/>
    <cellStyle name="ÅëÈ­_2¿ù¸ÅÃâ " xfId="326" xr:uid="{00000000-0005-0000-0000-00004A000000}"/>
    <cellStyle name="AeE­_3ÆA °³AI " xfId="327" xr:uid="{00000000-0005-0000-0000-00004B000000}"/>
    <cellStyle name="ÅëÈ­_3ÆÀ °³ÀÎ " xfId="328" xr:uid="{00000000-0005-0000-0000-00004C000000}"/>
    <cellStyle name="AeE­_96³a½A´cº°¼OAI " xfId="329" xr:uid="{00000000-0005-0000-0000-00004D000000}"/>
    <cellStyle name="ÅëÈ­_96³â½Ä´çº°¼ÕÀÍ " xfId="330" xr:uid="{00000000-0005-0000-0000-00004E000000}"/>
    <cellStyle name="AeE­_A|A¶1ºI1°u CoE² " xfId="331" xr:uid="{00000000-0005-0000-0000-00004F000000}"/>
    <cellStyle name="ÅëÈ­_Á¦Á¶1ºÎ1°ú ÇöÈ² " xfId="332" xr:uid="{00000000-0005-0000-0000-000050000000}"/>
    <cellStyle name="AeE­_ÆAC￥Ao_°eE¹3 " xfId="333" xr:uid="{00000000-0005-0000-0000-000051000000}"/>
    <cellStyle name="ÅëÈ­_ÆÀÇ¥Áö_°èÈ¹3 " xfId="334" xr:uid="{00000000-0005-0000-0000-000052000000}"/>
    <cellStyle name="AeE­_AMT " xfId="335" xr:uid="{00000000-0005-0000-0000-000053000000}"/>
    <cellStyle name="ÅëÈ­_AMT " xfId="336" xr:uid="{00000000-0005-0000-0000-000054000000}"/>
    <cellStyle name="AeE­_AMT _¹≪¿ª10¿u " xfId="337" xr:uid="{00000000-0005-0000-0000-000055000000}"/>
    <cellStyle name="ÅëÈ­_AMT _2.È¿À²ºÐ¼® " xfId="338" xr:uid="{00000000-0005-0000-0000-000056000000}"/>
    <cellStyle name="AeE­_AMT _2.E¿A²ºÐ¼R " xfId="339" xr:uid="{00000000-0005-0000-0000-000057000000}"/>
    <cellStyle name="ÅëÈ­_Àü»êTB " xfId="340" xr:uid="{00000000-0005-0000-0000-000058000000}"/>
    <cellStyle name="AeE­_Co´e¾÷¹≪AßAø " xfId="341" xr:uid="{00000000-0005-0000-0000-000059000000}"/>
    <cellStyle name="ÅëÈ­_INQUIRY ¿µ¾÷ÃßÁø " xfId="342" xr:uid="{00000000-0005-0000-0000-00005A000000}"/>
    <cellStyle name="AeE­_INQUIRY ¿μ¾÷AßAø " xfId="343" xr:uid="{00000000-0005-0000-0000-00005B000000}"/>
    <cellStyle name="ÅëÈ­_º¸¼öÃÑ°ý " xfId="344" xr:uid="{00000000-0005-0000-0000-00005C000000}"/>
    <cellStyle name="AeE¡ⓒ [0]_AMT " xfId="345" xr:uid="{00000000-0005-0000-0000-00005D000000}"/>
    <cellStyle name="AeE¡ⓒ_AMT " xfId="346" xr:uid="{00000000-0005-0000-0000-00005E000000}"/>
    <cellStyle name="AÞ¸¶ [0]_ 2ÆAAþº° " xfId="347" xr:uid="{00000000-0005-0000-0000-00005F000000}"/>
    <cellStyle name="ÄÞ¸¶ [0]_ 2ÆÀÃþº° " xfId="348" xr:uid="{00000000-0005-0000-0000-000060000000}"/>
    <cellStyle name="AÞ¸¶ [0]_ Æ?ÆCAþº° " xfId="349" xr:uid="{00000000-0005-0000-0000-000061000000}"/>
    <cellStyle name="ÄÞ¸¶ [0]_ Æ¯ÆÇÃþº° " xfId="350" xr:uid="{00000000-0005-0000-0000-000062000000}"/>
    <cellStyle name="AÞ¸¶ [0]_¸AAa¸AAa¿ø°¡ " xfId="351" xr:uid="{00000000-0005-0000-0000-000063000000}"/>
    <cellStyle name="ÄÞ¸¶ [0]_¸ÅÃâ¸ÅÃâ¿ø°¡ " xfId="352" xr:uid="{00000000-0005-0000-0000-000064000000}"/>
    <cellStyle name="AÞ¸¶ [0]_¿uº¸¼o·a " xfId="353" xr:uid="{00000000-0005-0000-0000-000065000000}"/>
    <cellStyle name="ÄÞ¸¶ [0]_¿ùº¸¼ö·á " xfId="354" xr:uid="{00000000-0005-0000-0000-000066000000}"/>
    <cellStyle name="AÞ¸¶ [0]_°eE¹3 " xfId="355" xr:uid="{00000000-0005-0000-0000-000067000000}"/>
    <cellStyle name="ÄÞ¸¶ [0]_°èÈ¹3 " xfId="356" xr:uid="{00000000-0005-0000-0000-000068000000}"/>
    <cellStyle name="AÞ¸¶ [0]_°u¸RC×¸n_¾÷A¾º° " xfId="357" xr:uid="{00000000-0005-0000-0000-000069000000}"/>
    <cellStyle name="ÄÞ¸¶ [0]_¼öÃâ½ÇÀû " xfId="358" xr:uid="{00000000-0005-0000-0000-00006A000000}"/>
    <cellStyle name="AÞ¸¶ [0]_¼oAa½CAu _¹≪¿ª10¿u " xfId="359" xr:uid="{00000000-0005-0000-0000-00006B000000}"/>
    <cellStyle name="ÄÞ¸¶ [0]_¼öÃâ½ÇÀû _2.È¿À²ºÐ¼® " xfId="360" xr:uid="{00000000-0005-0000-0000-00006C000000}"/>
    <cellStyle name="AÞ¸¶ [0]_¼oAa½CAu _2.E¿A²ºÐ¼R " xfId="361" xr:uid="{00000000-0005-0000-0000-00006D000000}"/>
    <cellStyle name="ÄÞ¸¶ [0]_¼öÃâ½ÇÀû _ÃµÈ£3¿ù " xfId="362" xr:uid="{00000000-0005-0000-0000-00006E000000}"/>
    <cellStyle name="AÞ¸¶ [0]_¼oAa½CAu _AμE￡3¿u " xfId="363" xr:uid="{00000000-0005-0000-0000-00006F000000}"/>
    <cellStyle name="ÄÞ¸¶ [0]_¼öÃâ½ÇÀû _Çö´ë¾÷¹«ÃßÁø " xfId="364" xr:uid="{00000000-0005-0000-0000-000070000000}"/>
    <cellStyle name="AÞ¸¶ [0]_¼oAa½CAu _Co´e¾÷¹≪AßAø " xfId="365" xr:uid="{00000000-0005-0000-0000-000071000000}"/>
    <cellStyle name="ÄÞ¸¶ [0]_¼ÕÀÍ¹Î´ö " xfId="366" xr:uid="{00000000-0005-0000-0000-000072000000}"/>
    <cellStyle name="AÞ¸¶ [0]_¾÷A¾º° " xfId="367" xr:uid="{00000000-0005-0000-0000-000073000000}"/>
    <cellStyle name="ÄÞ¸¶ [0]_¾÷Á¾º° " xfId="368" xr:uid="{00000000-0005-0000-0000-000074000000}"/>
    <cellStyle name="AÞ¸¶ [0]_2¿u¸AAa " xfId="369" xr:uid="{00000000-0005-0000-0000-000075000000}"/>
    <cellStyle name="ÄÞ¸¶ [0]_2¿ù¸ÅÃâ " xfId="370" xr:uid="{00000000-0005-0000-0000-000076000000}"/>
    <cellStyle name="AÞ¸¶ [0]_3ÆA °³AI " xfId="371" xr:uid="{00000000-0005-0000-0000-000077000000}"/>
    <cellStyle name="ÄÞ¸¶ [0]_3ÆÀ °³ÀÎ " xfId="372" xr:uid="{00000000-0005-0000-0000-000078000000}"/>
    <cellStyle name="AÞ¸¶ [0]_96³a½A´cº°¼OAI " xfId="373" xr:uid="{00000000-0005-0000-0000-000079000000}"/>
    <cellStyle name="ÄÞ¸¶ [0]_96³â½Ä´çº°¼ÕÀÍ " xfId="374" xr:uid="{00000000-0005-0000-0000-00007A000000}"/>
    <cellStyle name="AÞ¸¶ [0]_A|A¶1ºI1°u CoE² " xfId="375" xr:uid="{00000000-0005-0000-0000-00007B000000}"/>
    <cellStyle name="ÄÞ¸¶ [0]_Á¦Á¶1ºÎ1°ú ÇöÈ² " xfId="376" xr:uid="{00000000-0005-0000-0000-00007C000000}"/>
    <cellStyle name="AÞ¸¶ [0]_ÆAC￥Ao_°eE¹3 " xfId="377" xr:uid="{00000000-0005-0000-0000-00007D000000}"/>
    <cellStyle name="ÄÞ¸¶ [0]_ÆÀÇ¥Áö_°èÈ¹3 " xfId="378" xr:uid="{00000000-0005-0000-0000-00007E000000}"/>
    <cellStyle name="AÞ¸¶ [0]_Co´e¾÷¹≪AßAø " xfId="379" xr:uid="{00000000-0005-0000-0000-00007F000000}"/>
    <cellStyle name="ÄÞ¸¶ [0]_INQUIRY ¿µ¾÷ÃßÁø " xfId="380" xr:uid="{00000000-0005-0000-0000-000080000000}"/>
    <cellStyle name="AÞ¸¶ [0]_INQUIRY ¿μ¾÷AßAø " xfId="381" xr:uid="{00000000-0005-0000-0000-000081000000}"/>
    <cellStyle name="ÄÞ¸¶ [0]_º¸¼öÃÑ°ý " xfId="382" xr:uid="{00000000-0005-0000-0000-000082000000}"/>
    <cellStyle name="AÞ¸¶_ 2ÆAAþº° " xfId="383" xr:uid="{00000000-0005-0000-0000-000083000000}"/>
    <cellStyle name="ÄÞ¸¶_ 2ÆÀÃþº° " xfId="384" xr:uid="{00000000-0005-0000-0000-000084000000}"/>
    <cellStyle name="AÞ¸¶_ Æ?ÆCAþº° " xfId="385" xr:uid="{00000000-0005-0000-0000-000085000000}"/>
    <cellStyle name="ÄÞ¸¶_ Æ¯ÆÇÃþº° " xfId="386" xr:uid="{00000000-0005-0000-0000-000086000000}"/>
    <cellStyle name="AÞ¸¶_¸AAa¸AAa¿ø°¡ " xfId="387" xr:uid="{00000000-0005-0000-0000-000087000000}"/>
    <cellStyle name="ÄÞ¸¶_¸ÅÃâ¸ÅÃâ¿ø°¡ " xfId="388" xr:uid="{00000000-0005-0000-0000-000088000000}"/>
    <cellStyle name="AÞ¸¶_¿uº¸¼o·a " xfId="389" xr:uid="{00000000-0005-0000-0000-000089000000}"/>
    <cellStyle name="ÄÞ¸¶_¿ùº¸¼ö·á " xfId="390" xr:uid="{00000000-0005-0000-0000-00008A000000}"/>
    <cellStyle name="AÞ¸¶_°eE¹3 " xfId="391" xr:uid="{00000000-0005-0000-0000-00008B000000}"/>
    <cellStyle name="ÄÞ¸¶_°èÈ¹3 " xfId="392" xr:uid="{00000000-0005-0000-0000-00008C000000}"/>
    <cellStyle name="AÞ¸¶_°u¸RC×¸n_¾÷A¾º° " xfId="393" xr:uid="{00000000-0005-0000-0000-00008D000000}"/>
    <cellStyle name="ÄÞ¸¶_¼öÃâ½ÇÀû " xfId="394" xr:uid="{00000000-0005-0000-0000-00008E000000}"/>
    <cellStyle name="AÞ¸¶_¼oAa½CAu _¹≪¿ª10¿u " xfId="395" xr:uid="{00000000-0005-0000-0000-00008F000000}"/>
    <cellStyle name="ÄÞ¸¶_¼öÃâ½ÇÀû _2.È¿À²ºÐ¼® " xfId="396" xr:uid="{00000000-0005-0000-0000-000090000000}"/>
    <cellStyle name="AÞ¸¶_¼oAa½CAu _2.E¿A²ºÐ¼R " xfId="397" xr:uid="{00000000-0005-0000-0000-000091000000}"/>
    <cellStyle name="ÄÞ¸¶_¼öÃâ½ÇÀû _Çö´ë¾÷¹«ÃßÁø " xfId="398" xr:uid="{00000000-0005-0000-0000-000092000000}"/>
    <cellStyle name="AÞ¸¶_¼oAa½CAu _Co´e¾÷¹≪AßAø " xfId="399" xr:uid="{00000000-0005-0000-0000-000093000000}"/>
    <cellStyle name="ÄÞ¸¶_¼ÕÀÍ¹Î´ö " xfId="400" xr:uid="{00000000-0005-0000-0000-000094000000}"/>
    <cellStyle name="AÞ¸¶_¾÷A¾º° " xfId="401" xr:uid="{00000000-0005-0000-0000-000095000000}"/>
    <cellStyle name="ÄÞ¸¶_¾÷Á¾º° " xfId="402" xr:uid="{00000000-0005-0000-0000-000096000000}"/>
    <cellStyle name="AÞ¸¶_2¿u¸AAa " xfId="403" xr:uid="{00000000-0005-0000-0000-000097000000}"/>
    <cellStyle name="ÄÞ¸¶_2¿ù¸ÅÃâ " xfId="404" xr:uid="{00000000-0005-0000-0000-000098000000}"/>
    <cellStyle name="AÞ¸¶_3ÆA °³AI " xfId="405" xr:uid="{00000000-0005-0000-0000-000099000000}"/>
    <cellStyle name="ÄÞ¸¶_3ÆÀ °³ÀÎ " xfId="406" xr:uid="{00000000-0005-0000-0000-00009A000000}"/>
    <cellStyle name="AÞ¸¶_96³a½A´cº°¼OAI " xfId="407" xr:uid="{00000000-0005-0000-0000-00009B000000}"/>
    <cellStyle name="ÄÞ¸¶_96³â½Ä´çº°¼ÕÀÍ " xfId="408" xr:uid="{00000000-0005-0000-0000-00009C000000}"/>
    <cellStyle name="AÞ¸¶_A|A¶1ºI1°u CoE² " xfId="409" xr:uid="{00000000-0005-0000-0000-00009D000000}"/>
    <cellStyle name="ÄÞ¸¶_Á¦Á¶1ºÎ1°ú ÇöÈ² " xfId="410" xr:uid="{00000000-0005-0000-0000-00009E000000}"/>
    <cellStyle name="AÞ¸¶_ÆAC￥Ao_°eE¹3 " xfId="411" xr:uid="{00000000-0005-0000-0000-00009F000000}"/>
    <cellStyle name="ÄÞ¸¶_ÆÀÇ¥Áö_°èÈ¹3 " xfId="412" xr:uid="{00000000-0005-0000-0000-0000A0000000}"/>
    <cellStyle name="AÞ¸¶_Co´e¾÷¹≪AßAø " xfId="413" xr:uid="{00000000-0005-0000-0000-0000A1000000}"/>
    <cellStyle name="ÄÞ¸¶_INQUIRY ¿µ¾÷ÃßÁø " xfId="414" xr:uid="{00000000-0005-0000-0000-0000A2000000}"/>
    <cellStyle name="AÞ¸¶_INQUIRY ¿μ¾÷AßAø " xfId="415" xr:uid="{00000000-0005-0000-0000-0000A3000000}"/>
    <cellStyle name="ÄÞ¸¶_º¸¼öÃÑ°ý " xfId="416" xr:uid="{00000000-0005-0000-0000-0000A4000000}"/>
    <cellStyle name="C?A?0N-HANDLING " xfId="417" xr:uid="{00000000-0005-0000-0000-0000A5000000}"/>
    <cellStyle name="C?A?5-1광컄 " xfId="418" xr:uid="{00000000-0005-0000-0000-0000A6000000}"/>
    <cellStyle name="C?A?Ay캿C?(2퓎) " xfId="420" xr:uid="{00000000-0005-0000-0000-0000A7000000}"/>
    <cellStyle name="C?A?CoAo퉧AI 캚액?폗 " xfId="421" xr:uid="{00000000-0005-0000-0000-0000A8000000}"/>
    <cellStyle name="C?A?Sheet1_0N-HANDLING " xfId="422" xr:uid="{00000000-0005-0000-0000-0000A9000000}"/>
    <cellStyle name="C?A?팧업튘별 AN캿 " xfId="419" xr:uid="{00000000-0005-0000-0000-0000AA000000}"/>
    <cellStyle name="C?AØ_¿µ¾÷CoE² " xfId="423" xr:uid="{00000000-0005-0000-0000-0000AB000000}"/>
    <cellStyle name="C¡IA¨ª_¡ic¨u¡A¨￢I¨￢¡Æ AN¡Æe " xfId="424" xr:uid="{00000000-0005-0000-0000-0000AC000000}"/>
    <cellStyle name="C￥AØ_ 2ÆAAþº° " xfId="425" xr:uid="{00000000-0005-0000-0000-0000AD000000}"/>
    <cellStyle name="Ç¥ÁØ_ 2ÆÀÃþº° " xfId="426" xr:uid="{00000000-0005-0000-0000-0000AE000000}"/>
    <cellStyle name="C￥AØ_ Æ?ÆCAþº° " xfId="427" xr:uid="{00000000-0005-0000-0000-0000AF000000}"/>
    <cellStyle name="Ç¥ÁØ_ Æ¯ÆÇÃþº° " xfId="428" xr:uid="{00000000-0005-0000-0000-0000B0000000}"/>
    <cellStyle name="C￥AØ_¸AAa¸AAa¿ø°¡ " xfId="429" xr:uid="{00000000-0005-0000-0000-0000B1000000}"/>
    <cellStyle name="Ç¥ÁØ_¸ÅÃâ¸ÅÃâ¿ø°¡ " xfId="430" xr:uid="{00000000-0005-0000-0000-0000B2000000}"/>
    <cellStyle name="C￥AØ_¿i≫eA¡ " xfId="431" xr:uid="{00000000-0005-0000-0000-0000B3000000}"/>
    <cellStyle name="Ç¥ÁØ_¿ùº¸¼ö·á " xfId="432" xr:uid="{00000000-0005-0000-0000-0000B4000000}"/>
    <cellStyle name="C￥AØ_¿μ¾÷CoE² " xfId="433" xr:uid="{00000000-0005-0000-0000-0000B5000000}"/>
    <cellStyle name="Ç¥ÁØ_»ç¾÷ºÎº° ÃÑ°è " xfId="434" xr:uid="{00000000-0005-0000-0000-0000B6000000}"/>
    <cellStyle name="C￥AØ_≫c¾÷ºIº° AN°e " xfId="435" xr:uid="{00000000-0005-0000-0000-0000B7000000}"/>
    <cellStyle name="Ç¥ÁØ_°èÈ¹3 " xfId="436" xr:uid="{00000000-0005-0000-0000-0000B8000000}"/>
    <cellStyle name="C￥AØ_°u¸RC×¸n_¾÷A¾º° " xfId="437" xr:uid="{00000000-0005-0000-0000-0000B9000000}"/>
    <cellStyle name="Ç¥ÁØ_0N-HANDLING " xfId="438" xr:uid="{00000000-0005-0000-0000-0000BA000000}"/>
    <cellStyle name="C￥AØ_¼OAI¹I´o " xfId="439" xr:uid="{00000000-0005-0000-0000-0000BB000000}"/>
    <cellStyle name="Ç¥ÁØ_¼ÕÀÍ¹Î´ö " xfId="440" xr:uid="{00000000-0005-0000-0000-0000BC000000}"/>
    <cellStyle name="C￥AØ_¾÷A¾º° " xfId="441" xr:uid="{00000000-0005-0000-0000-0000BD000000}"/>
    <cellStyle name="Ç¥ÁØ_¾÷Á¾º° " xfId="442" xr:uid="{00000000-0005-0000-0000-0000BE000000}"/>
    <cellStyle name="C￥AØ_¾c½A " xfId="443" xr:uid="{00000000-0005-0000-0000-0000BF000000}"/>
    <cellStyle name="Ç¥ÁØ_¾ç½Ä " xfId="444" xr:uid="{00000000-0005-0000-0000-0000C0000000}"/>
    <cellStyle name="C￥AØ_¾c½A _¹≪¿ª10¿u " xfId="445" xr:uid="{00000000-0005-0000-0000-0000C1000000}"/>
    <cellStyle name="Ç¥ÁØ_¾ç½Ä _2.È¿À²ºÐ¼® " xfId="446" xr:uid="{00000000-0005-0000-0000-0000C2000000}"/>
    <cellStyle name="C￥AØ_¾c½A _2.E¿A²ºÐ¼R " xfId="447" xr:uid="{00000000-0005-0000-0000-0000C3000000}"/>
    <cellStyle name="Ç¥ÁØ_¹«¿ª°æºñÀå " xfId="448" xr:uid="{00000000-0005-0000-0000-0000C4000000}"/>
    <cellStyle name="C￥AØ_¹≪¿ª°æºnAa " xfId="449" xr:uid="{00000000-0005-0000-0000-0000C5000000}"/>
    <cellStyle name="Ç¥ÁØ_12¿ù " xfId="450" xr:uid="{00000000-0005-0000-0000-0000C6000000}"/>
    <cellStyle name="C￥AØ_2.E¿A²ºÐ¼R " xfId="451" xr:uid="{00000000-0005-0000-0000-0000C7000000}"/>
    <cellStyle name="Ç¥ÁØ_2¿ù¸ÅÃâ " xfId="452" xr:uid="{00000000-0005-0000-0000-0000C8000000}"/>
    <cellStyle name="C￥AØ_2¿u¸AAa _2.E¿A²ºÐ¼R " xfId="453" xr:uid="{00000000-0005-0000-0000-0000C9000000}"/>
    <cellStyle name="Ç¥ÁØ_3ÆÀ °³ÀÎ " xfId="454" xr:uid="{00000000-0005-0000-0000-0000CA000000}"/>
    <cellStyle name="C￥AØ_5-1±¤°i " xfId="455" xr:uid="{00000000-0005-0000-0000-0000CB000000}"/>
    <cellStyle name="Ç¥ÁØ_5-1±¤°í " xfId="456" xr:uid="{00000000-0005-0000-0000-0000CC000000}"/>
    <cellStyle name="C￥AØ_5-1±¤°i _¹≪¿ª10¿u " xfId="457" xr:uid="{00000000-0005-0000-0000-0000CD000000}"/>
    <cellStyle name="Ç¥ÁØ_5-1±¤°í _Çö´ë¾÷¹«ÃßÁø " xfId="458" xr:uid="{00000000-0005-0000-0000-0000CE000000}"/>
    <cellStyle name="C￥AØ_5-1±¤°i _Co´e¾÷¹≪AßAø " xfId="459" xr:uid="{00000000-0005-0000-0000-0000CF000000}"/>
    <cellStyle name="Ç¥ÁØ_94³â Á¦¿Ü " xfId="460" xr:uid="{00000000-0005-0000-0000-0000D0000000}"/>
    <cellStyle name="C￥AØ_96³a½A´cº°¼OAI " xfId="461" xr:uid="{00000000-0005-0000-0000-0000D1000000}"/>
    <cellStyle name="Ç¥ÁØ_96³â½Ä´çº°¼ÕÀÍ " xfId="462" xr:uid="{00000000-0005-0000-0000-0000D2000000}"/>
    <cellStyle name="C￥AØ_98³a AoAU°eE¹ " xfId="463" xr:uid="{00000000-0005-0000-0000-0000D3000000}"/>
    <cellStyle name="Ç¥ÁØ_98³â ÅõÀÚ°èÈ¹ " xfId="464" xr:uid="{00000000-0005-0000-0000-0000D4000000}"/>
    <cellStyle name="C￥AØ_Æ?±a3_p.mix " xfId="465" xr:uid="{00000000-0005-0000-0000-0000D5000000}"/>
    <cellStyle name="Ç¥ÁØ_Æ¯±â3_p.mix " xfId="466" xr:uid="{00000000-0005-0000-0000-0000D6000000}"/>
    <cellStyle name="C￥AØ_ÆAC￥Ao_°eE¹3 " xfId="467" xr:uid="{00000000-0005-0000-0000-0000D7000000}"/>
    <cellStyle name="Ç¥ÁØ_ÆÀÇ¥Áö_°èÈ¹3 " xfId="468" xr:uid="{00000000-0005-0000-0000-0000D8000000}"/>
    <cellStyle name="C￥AØ_AßA¤´eA÷ " xfId="469" xr:uid="{00000000-0005-0000-0000-0000D9000000}"/>
    <cellStyle name="Ç¥ÁØ_ÃßÁ¤´ëÂ÷ " xfId="470" xr:uid="{00000000-0005-0000-0000-0000DA000000}"/>
    <cellStyle name="C￥AØ_AßA¤´eA÷ _2.E¿A²ºÐ¼R " xfId="471" xr:uid="{00000000-0005-0000-0000-0000DB000000}"/>
    <cellStyle name="Ç¥ÁØ_ÀÚ±Ý_1_ÃßÁ¤´ëÂ÷ " xfId="472" xr:uid="{00000000-0005-0000-0000-0000DC000000}"/>
    <cellStyle name="C￥AØ_AU±Y_1_AßA¤´eA÷ _2.E¿A²ºÐ¼R " xfId="473" xr:uid="{00000000-0005-0000-0000-0000DD000000}"/>
    <cellStyle name="Ç¥ÁØ_ÀÚ±Ý_ÃßÁ¤´ëÂ÷ " xfId="474" xr:uid="{00000000-0005-0000-0000-0000DE000000}"/>
    <cellStyle name="C￥AØ_Ay°eC￥(2¿u) " xfId="475" xr:uid="{00000000-0005-0000-0000-0000DF000000}"/>
    <cellStyle name="Ç¥ÁØ_Áý°èÇ¥(2¿ù) " xfId="476" xr:uid="{00000000-0005-0000-0000-0000E0000000}"/>
    <cellStyle name="C￥AØ_AμE￡3¿u " xfId="477" xr:uid="{00000000-0005-0000-0000-0000E1000000}"/>
    <cellStyle name="Ç¥ÁØ_Ç¥Áö(¿Ü¸ð¼³Ä¡) " xfId="478" xr:uid="{00000000-0005-0000-0000-0000E2000000}"/>
    <cellStyle name="C￥AØ_CLEAR FILE(B4) " xfId="479" xr:uid="{00000000-0005-0000-0000-0000E3000000}"/>
    <cellStyle name="Ç¥ÁØ_CLEAR FILE(B4) " xfId="480" xr:uid="{00000000-0005-0000-0000-0000E4000000}"/>
    <cellStyle name="C￥AØ_Co´e¾÷¹≪AßAø " xfId="481" xr:uid="{00000000-0005-0000-0000-0000E5000000}"/>
    <cellStyle name="Ç¥ÁØ_ÇöÁö¹ýÀÎ °Å¾×¿©½Å " xfId="482" xr:uid="{00000000-0005-0000-0000-0000E6000000}"/>
    <cellStyle name="C￥AØ_CoAo¹yAI °A¾×¿ⓒ½A " xfId="483" xr:uid="{00000000-0005-0000-0000-0000E7000000}"/>
    <cellStyle name="Ç¥ÁØ_º¸¼öÃÑ°ý " xfId="484" xr:uid="{00000000-0005-0000-0000-0000E8000000}"/>
    <cellStyle name="C￥AØ_ºIAøºI¹R(Æ?ÆC) (1¿u)_1_¹≪¿ª10¿u " xfId="485" xr:uid="{00000000-0005-0000-0000-0000E9000000}"/>
    <cellStyle name="Ç¥ÁØ_p.mix " xfId="486" xr:uid="{00000000-0005-0000-0000-0000EA000000}"/>
    <cellStyle name="C￥AØ_p.mix _2.E¿A²ºÐ¼R " xfId="487" xr:uid="{00000000-0005-0000-0000-0000EB000000}"/>
    <cellStyle name="Ç¥ÁØ_PCº° ÀüÃþ ¸éÀû ÇöÈ² " xfId="488" xr:uid="{00000000-0005-0000-0000-0000EC000000}"/>
    <cellStyle name="C￥AØ_PL¿μ¾÷ " xfId="489" xr:uid="{00000000-0005-0000-0000-0000ED000000}"/>
    <cellStyle name="Ç¥ÁØ_Sheet1_¿µ¾÷ÇöÈ² " xfId="490" xr:uid="{00000000-0005-0000-0000-0000EE000000}"/>
    <cellStyle name="C￥AØ_Sheet1_¿μ¾÷CoE² " xfId="491" xr:uid="{00000000-0005-0000-0000-0000EF000000}"/>
    <cellStyle name="Ç¥ÁØ_Sheet1_0N-HANDLING " xfId="492" xr:uid="{00000000-0005-0000-0000-0000F0000000}"/>
    <cellStyle name="C￥AØ_Sheet1_Ay°eC￥(2¿u) " xfId="493" xr:uid="{00000000-0005-0000-0000-0000F1000000}"/>
    <cellStyle name="Ç¥ÁØ_Sheet1_Áý°èÇ¥(2¿ù) " xfId="494" xr:uid="{00000000-0005-0000-0000-0000F2000000}"/>
    <cellStyle name="C￥AØ_SOON1 " xfId="495" xr:uid="{00000000-0005-0000-0000-0000F3000000}"/>
    <cellStyle name="Ç¥ÁØ_SOON1 " xfId="496" xr:uid="{00000000-0005-0000-0000-0000F4000000}"/>
    <cellStyle name="C￥AØ_SOON1 _¹≪¿ª10¿u " xfId="497" xr:uid="{00000000-0005-0000-0000-0000F5000000}"/>
    <cellStyle name="Comma [0]_ SG&amp;A Bridge " xfId="498" xr:uid="{00000000-0005-0000-0000-0000F6000000}"/>
    <cellStyle name="Comma_ SG&amp;A Bridge " xfId="499" xr:uid="{00000000-0005-0000-0000-0000F7000000}"/>
    <cellStyle name="Currency [0]_ SG&amp;A Bridge " xfId="500" xr:uid="{00000000-0005-0000-0000-0000F8000000}"/>
    <cellStyle name="Currency_ SG&amp;A Bridge " xfId="501" xr:uid="{00000000-0005-0000-0000-0000F9000000}"/>
    <cellStyle name="Normal_ SG&amp;A Bridge " xfId="502" xr:uid="{00000000-0005-0000-0000-0000FA000000}"/>
    <cellStyle name="뷭?_BOOKSHIP_상품개발부 (2)_반품15차(8월23,24,28일) " xfId="7" xr:uid="{00000000-0005-0000-0000-0000FB000000}"/>
    <cellStyle name="스타일 1" xfId="8" xr:uid="{00000000-0005-0000-0000-0000FC000000}"/>
    <cellStyle name="스타일 10" xfId="9" xr:uid="{00000000-0005-0000-0000-0000FD000000}"/>
    <cellStyle name="스타일 100" xfId="10" xr:uid="{00000000-0005-0000-0000-0000FE000000}"/>
    <cellStyle name="스타일 101" xfId="11" xr:uid="{00000000-0005-0000-0000-0000FF000000}"/>
    <cellStyle name="스타일 102" xfId="12" xr:uid="{00000000-0005-0000-0000-000000010000}"/>
    <cellStyle name="스타일 103" xfId="13" xr:uid="{00000000-0005-0000-0000-000001010000}"/>
    <cellStyle name="스타일 104" xfId="14" xr:uid="{00000000-0005-0000-0000-000002010000}"/>
    <cellStyle name="스타일 105" xfId="15" xr:uid="{00000000-0005-0000-0000-000003010000}"/>
    <cellStyle name="스타일 106" xfId="16" xr:uid="{00000000-0005-0000-0000-000004010000}"/>
    <cellStyle name="스타일 107" xfId="17" xr:uid="{00000000-0005-0000-0000-000005010000}"/>
    <cellStyle name="스타일 108" xfId="18" xr:uid="{00000000-0005-0000-0000-000006010000}"/>
    <cellStyle name="스타일 109" xfId="19" xr:uid="{00000000-0005-0000-0000-000007010000}"/>
    <cellStyle name="스타일 11" xfId="20" xr:uid="{00000000-0005-0000-0000-000008010000}"/>
    <cellStyle name="스타일 110" xfId="21" xr:uid="{00000000-0005-0000-0000-000009010000}"/>
    <cellStyle name="스타일 111" xfId="22" xr:uid="{00000000-0005-0000-0000-00000A010000}"/>
    <cellStyle name="스타일 112" xfId="23" xr:uid="{00000000-0005-0000-0000-00000B010000}"/>
    <cellStyle name="스타일 113" xfId="24" xr:uid="{00000000-0005-0000-0000-00000C010000}"/>
    <cellStyle name="스타일 114" xfId="25" xr:uid="{00000000-0005-0000-0000-00000D010000}"/>
    <cellStyle name="스타일 115" xfId="26" xr:uid="{00000000-0005-0000-0000-00000E010000}"/>
    <cellStyle name="스타일 116" xfId="27" xr:uid="{00000000-0005-0000-0000-00000F010000}"/>
    <cellStyle name="스타일 117" xfId="28" xr:uid="{00000000-0005-0000-0000-000010010000}"/>
    <cellStyle name="스타일 118" xfId="29" xr:uid="{00000000-0005-0000-0000-000011010000}"/>
    <cellStyle name="스타일 119" xfId="30" xr:uid="{00000000-0005-0000-0000-000012010000}"/>
    <cellStyle name="스타일 12" xfId="31" xr:uid="{00000000-0005-0000-0000-000013010000}"/>
    <cellStyle name="스타일 120" xfId="32" xr:uid="{00000000-0005-0000-0000-000014010000}"/>
    <cellStyle name="스타일 121" xfId="33" xr:uid="{00000000-0005-0000-0000-000015010000}"/>
    <cellStyle name="스타일 122" xfId="34" xr:uid="{00000000-0005-0000-0000-000016010000}"/>
    <cellStyle name="스타일 123" xfId="35" xr:uid="{00000000-0005-0000-0000-000017010000}"/>
    <cellStyle name="스타일 124" xfId="36" xr:uid="{00000000-0005-0000-0000-000018010000}"/>
    <cellStyle name="스타일 125" xfId="37" xr:uid="{00000000-0005-0000-0000-000019010000}"/>
    <cellStyle name="스타일 126" xfId="38" xr:uid="{00000000-0005-0000-0000-00001A010000}"/>
    <cellStyle name="스타일 127" xfId="39" xr:uid="{00000000-0005-0000-0000-00001B010000}"/>
    <cellStyle name="스타일 128" xfId="40" xr:uid="{00000000-0005-0000-0000-00001C010000}"/>
    <cellStyle name="스타일 129" xfId="41" xr:uid="{00000000-0005-0000-0000-00001D010000}"/>
    <cellStyle name="스타일 13" xfId="42" xr:uid="{00000000-0005-0000-0000-00001E010000}"/>
    <cellStyle name="스타일 130" xfId="43" xr:uid="{00000000-0005-0000-0000-00001F010000}"/>
    <cellStyle name="스타일 131" xfId="44" xr:uid="{00000000-0005-0000-0000-000020010000}"/>
    <cellStyle name="스타일 132" xfId="45" xr:uid="{00000000-0005-0000-0000-000021010000}"/>
    <cellStyle name="스타일 133" xfId="46" xr:uid="{00000000-0005-0000-0000-000022010000}"/>
    <cellStyle name="스타일 134" xfId="47" xr:uid="{00000000-0005-0000-0000-000023010000}"/>
    <cellStyle name="스타일 135" xfId="48" xr:uid="{00000000-0005-0000-0000-000024010000}"/>
    <cellStyle name="스타일 136" xfId="49" xr:uid="{00000000-0005-0000-0000-000025010000}"/>
    <cellStyle name="스타일 137" xfId="50" xr:uid="{00000000-0005-0000-0000-000026010000}"/>
    <cellStyle name="스타일 138" xfId="51" xr:uid="{00000000-0005-0000-0000-000027010000}"/>
    <cellStyle name="스타일 139" xfId="52" xr:uid="{00000000-0005-0000-0000-000028010000}"/>
    <cellStyle name="스타일 14" xfId="53" xr:uid="{00000000-0005-0000-0000-000029010000}"/>
    <cellStyle name="스타일 140" xfId="54" xr:uid="{00000000-0005-0000-0000-00002A010000}"/>
    <cellStyle name="스타일 141" xfId="55" xr:uid="{00000000-0005-0000-0000-00002B010000}"/>
    <cellStyle name="스타일 142" xfId="56" xr:uid="{00000000-0005-0000-0000-00002C010000}"/>
    <cellStyle name="스타일 143" xfId="57" xr:uid="{00000000-0005-0000-0000-00002D010000}"/>
    <cellStyle name="스타일 144" xfId="58" xr:uid="{00000000-0005-0000-0000-00002E010000}"/>
    <cellStyle name="스타일 145" xfId="59" xr:uid="{00000000-0005-0000-0000-00002F010000}"/>
    <cellStyle name="스타일 146" xfId="60" xr:uid="{00000000-0005-0000-0000-000030010000}"/>
    <cellStyle name="스타일 147" xfId="61" xr:uid="{00000000-0005-0000-0000-000031010000}"/>
    <cellStyle name="스타일 148" xfId="62" xr:uid="{00000000-0005-0000-0000-000032010000}"/>
    <cellStyle name="스타일 149" xfId="63" xr:uid="{00000000-0005-0000-0000-000033010000}"/>
    <cellStyle name="스타일 15" xfId="64" xr:uid="{00000000-0005-0000-0000-000034010000}"/>
    <cellStyle name="스타일 150" xfId="65" xr:uid="{00000000-0005-0000-0000-000035010000}"/>
    <cellStyle name="스타일 151" xfId="66" xr:uid="{00000000-0005-0000-0000-000036010000}"/>
    <cellStyle name="스타일 152" xfId="67" xr:uid="{00000000-0005-0000-0000-000037010000}"/>
    <cellStyle name="스타일 153" xfId="68" xr:uid="{00000000-0005-0000-0000-000038010000}"/>
    <cellStyle name="스타일 154" xfId="69" xr:uid="{00000000-0005-0000-0000-000039010000}"/>
    <cellStyle name="스타일 155" xfId="70" xr:uid="{00000000-0005-0000-0000-00003A010000}"/>
    <cellStyle name="스타일 156" xfId="71" xr:uid="{00000000-0005-0000-0000-00003B010000}"/>
    <cellStyle name="스타일 157" xfId="72" xr:uid="{00000000-0005-0000-0000-00003C010000}"/>
    <cellStyle name="스타일 158" xfId="73" xr:uid="{00000000-0005-0000-0000-00003D010000}"/>
    <cellStyle name="스타일 159" xfId="74" xr:uid="{00000000-0005-0000-0000-00003E010000}"/>
    <cellStyle name="스타일 16" xfId="75" xr:uid="{00000000-0005-0000-0000-00003F010000}"/>
    <cellStyle name="스타일 160" xfId="76" xr:uid="{00000000-0005-0000-0000-000040010000}"/>
    <cellStyle name="스타일 161" xfId="77" xr:uid="{00000000-0005-0000-0000-000041010000}"/>
    <cellStyle name="스타일 162" xfId="78" xr:uid="{00000000-0005-0000-0000-000042010000}"/>
    <cellStyle name="스타일 163" xfId="79" xr:uid="{00000000-0005-0000-0000-000043010000}"/>
    <cellStyle name="스타일 164" xfId="80" xr:uid="{00000000-0005-0000-0000-000044010000}"/>
    <cellStyle name="스타일 165" xfId="81" xr:uid="{00000000-0005-0000-0000-000045010000}"/>
    <cellStyle name="스타일 166" xfId="82" xr:uid="{00000000-0005-0000-0000-000046010000}"/>
    <cellStyle name="스타일 167" xfId="83" xr:uid="{00000000-0005-0000-0000-000047010000}"/>
    <cellStyle name="스타일 168" xfId="84" xr:uid="{00000000-0005-0000-0000-000048010000}"/>
    <cellStyle name="스타일 169" xfId="85" xr:uid="{00000000-0005-0000-0000-000049010000}"/>
    <cellStyle name="스타일 17" xfId="86" xr:uid="{00000000-0005-0000-0000-00004A010000}"/>
    <cellStyle name="스타일 170" xfId="87" xr:uid="{00000000-0005-0000-0000-00004B010000}"/>
    <cellStyle name="스타일 171" xfId="88" xr:uid="{00000000-0005-0000-0000-00004C010000}"/>
    <cellStyle name="스타일 172" xfId="89" xr:uid="{00000000-0005-0000-0000-00004D010000}"/>
    <cellStyle name="스타일 173" xfId="90" xr:uid="{00000000-0005-0000-0000-00004E010000}"/>
    <cellStyle name="스타일 174" xfId="91" xr:uid="{00000000-0005-0000-0000-00004F010000}"/>
    <cellStyle name="스타일 175" xfId="92" xr:uid="{00000000-0005-0000-0000-000050010000}"/>
    <cellStyle name="스타일 176" xfId="93" xr:uid="{00000000-0005-0000-0000-000051010000}"/>
    <cellStyle name="스타일 177" xfId="94" xr:uid="{00000000-0005-0000-0000-000052010000}"/>
    <cellStyle name="스타일 178" xfId="95" xr:uid="{00000000-0005-0000-0000-000053010000}"/>
    <cellStyle name="스타일 179" xfId="96" xr:uid="{00000000-0005-0000-0000-000054010000}"/>
    <cellStyle name="스타일 18" xfId="97" xr:uid="{00000000-0005-0000-0000-000055010000}"/>
    <cellStyle name="스타일 180" xfId="98" xr:uid="{00000000-0005-0000-0000-000056010000}"/>
    <cellStyle name="스타일 181" xfId="99" xr:uid="{00000000-0005-0000-0000-000057010000}"/>
    <cellStyle name="스타일 182" xfId="100" xr:uid="{00000000-0005-0000-0000-000058010000}"/>
    <cellStyle name="스타일 183" xfId="101" xr:uid="{00000000-0005-0000-0000-000059010000}"/>
    <cellStyle name="스타일 184" xfId="102" xr:uid="{00000000-0005-0000-0000-00005A010000}"/>
    <cellStyle name="스타일 185" xfId="103" xr:uid="{00000000-0005-0000-0000-00005B010000}"/>
    <cellStyle name="스타일 186" xfId="104" xr:uid="{00000000-0005-0000-0000-00005C010000}"/>
    <cellStyle name="스타일 187" xfId="105" xr:uid="{00000000-0005-0000-0000-00005D010000}"/>
    <cellStyle name="스타일 188" xfId="106" xr:uid="{00000000-0005-0000-0000-00005E010000}"/>
    <cellStyle name="스타일 189" xfId="107" xr:uid="{00000000-0005-0000-0000-00005F010000}"/>
    <cellStyle name="스타일 19" xfId="108" xr:uid="{00000000-0005-0000-0000-000060010000}"/>
    <cellStyle name="스타일 190" xfId="109" xr:uid="{00000000-0005-0000-0000-000061010000}"/>
    <cellStyle name="스타일 191" xfId="110" xr:uid="{00000000-0005-0000-0000-000062010000}"/>
    <cellStyle name="스타일 192" xfId="111" xr:uid="{00000000-0005-0000-0000-000063010000}"/>
    <cellStyle name="스타일 193" xfId="112" xr:uid="{00000000-0005-0000-0000-000064010000}"/>
    <cellStyle name="스타일 194" xfId="113" xr:uid="{00000000-0005-0000-0000-000065010000}"/>
    <cellStyle name="스타일 195" xfId="114" xr:uid="{00000000-0005-0000-0000-000066010000}"/>
    <cellStyle name="스타일 196" xfId="115" xr:uid="{00000000-0005-0000-0000-000067010000}"/>
    <cellStyle name="스타일 197" xfId="116" xr:uid="{00000000-0005-0000-0000-000068010000}"/>
    <cellStyle name="스타일 198" xfId="117" xr:uid="{00000000-0005-0000-0000-000069010000}"/>
    <cellStyle name="스타일 199" xfId="118" xr:uid="{00000000-0005-0000-0000-00006A010000}"/>
    <cellStyle name="스타일 2" xfId="119" xr:uid="{00000000-0005-0000-0000-00006B010000}"/>
    <cellStyle name="스타일 20" xfId="120" xr:uid="{00000000-0005-0000-0000-00006C010000}"/>
    <cellStyle name="스타일 200" xfId="121" xr:uid="{00000000-0005-0000-0000-00006D010000}"/>
    <cellStyle name="스타일 201" xfId="122" xr:uid="{00000000-0005-0000-0000-00006E010000}"/>
    <cellStyle name="스타일 202" xfId="123" xr:uid="{00000000-0005-0000-0000-00006F010000}"/>
    <cellStyle name="스타일 203" xfId="124" xr:uid="{00000000-0005-0000-0000-000070010000}"/>
    <cellStyle name="스타일 204" xfId="125" xr:uid="{00000000-0005-0000-0000-000071010000}"/>
    <cellStyle name="스타일 205" xfId="126" xr:uid="{00000000-0005-0000-0000-000072010000}"/>
    <cellStyle name="스타일 206" xfId="127" xr:uid="{00000000-0005-0000-0000-000073010000}"/>
    <cellStyle name="스타일 207" xfId="128" xr:uid="{00000000-0005-0000-0000-000074010000}"/>
    <cellStyle name="스타일 208" xfId="129" xr:uid="{00000000-0005-0000-0000-000075010000}"/>
    <cellStyle name="스타일 209" xfId="130" xr:uid="{00000000-0005-0000-0000-000076010000}"/>
    <cellStyle name="스타일 21" xfId="131" xr:uid="{00000000-0005-0000-0000-000077010000}"/>
    <cellStyle name="스타일 210" xfId="132" xr:uid="{00000000-0005-0000-0000-000078010000}"/>
    <cellStyle name="스타일 211" xfId="133" xr:uid="{00000000-0005-0000-0000-000079010000}"/>
    <cellStyle name="스타일 212" xfId="134" xr:uid="{00000000-0005-0000-0000-00007A010000}"/>
    <cellStyle name="스타일 213" xfId="135" xr:uid="{00000000-0005-0000-0000-00007B010000}"/>
    <cellStyle name="스타일 214" xfId="136" xr:uid="{00000000-0005-0000-0000-00007C010000}"/>
    <cellStyle name="스타일 215" xfId="137" xr:uid="{00000000-0005-0000-0000-00007D010000}"/>
    <cellStyle name="스타일 216" xfId="138" xr:uid="{00000000-0005-0000-0000-00007E010000}"/>
    <cellStyle name="스타일 217" xfId="139" xr:uid="{00000000-0005-0000-0000-00007F010000}"/>
    <cellStyle name="스타일 218" xfId="140" xr:uid="{00000000-0005-0000-0000-000080010000}"/>
    <cellStyle name="스타일 219" xfId="141" xr:uid="{00000000-0005-0000-0000-000081010000}"/>
    <cellStyle name="스타일 22" xfId="142" xr:uid="{00000000-0005-0000-0000-000082010000}"/>
    <cellStyle name="스타일 220" xfId="143" xr:uid="{00000000-0005-0000-0000-000083010000}"/>
    <cellStyle name="스타일 221" xfId="144" xr:uid="{00000000-0005-0000-0000-000084010000}"/>
    <cellStyle name="스타일 222" xfId="145" xr:uid="{00000000-0005-0000-0000-000085010000}"/>
    <cellStyle name="스타일 223" xfId="146" xr:uid="{00000000-0005-0000-0000-000086010000}"/>
    <cellStyle name="스타일 224" xfId="147" xr:uid="{00000000-0005-0000-0000-000087010000}"/>
    <cellStyle name="스타일 225" xfId="148" xr:uid="{00000000-0005-0000-0000-000088010000}"/>
    <cellStyle name="스타일 226" xfId="149" xr:uid="{00000000-0005-0000-0000-000089010000}"/>
    <cellStyle name="스타일 227" xfId="150" xr:uid="{00000000-0005-0000-0000-00008A010000}"/>
    <cellStyle name="스타일 228" xfId="151" xr:uid="{00000000-0005-0000-0000-00008B010000}"/>
    <cellStyle name="스타일 229" xfId="152" xr:uid="{00000000-0005-0000-0000-00008C010000}"/>
    <cellStyle name="스타일 23" xfId="153" xr:uid="{00000000-0005-0000-0000-00008D010000}"/>
    <cellStyle name="스타일 230" xfId="154" xr:uid="{00000000-0005-0000-0000-00008E010000}"/>
    <cellStyle name="스타일 231" xfId="155" xr:uid="{00000000-0005-0000-0000-00008F010000}"/>
    <cellStyle name="스타일 232" xfId="156" xr:uid="{00000000-0005-0000-0000-000090010000}"/>
    <cellStyle name="스타일 233" xfId="157" xr:uid="{00000000-0005-0000-0000-000091010000}"/>
    <cellStyle name="스타일 234" xfId="158" xr:uid="{00000000-0005-0000-0000-000092010000}"/>
    <cellStyle name="스타일 235" xfId="159" xr:uid="{00000000-0005-0000-0000-000093010000}"/>
    <cellStyle name="스타일 236" xfId="160" xr:uid="{00000000-0005-0000-0000-000094010000}"/>
    <cellStyle name="스타일 237" xfId="161" xr:uid="{00000000-0005-0000-0000-000095010000}"/>
    <cellStyle name="스타일 238" xfId="162" xr:uid="{00000000-0005-0000-0000-000096010000}"/>
    <cellStyle name="스타일 239" xfId="163" xr:uid="{00000000-0005-0000-0000-000097010000}"/>
    <cellStyle name="스타일 24" xfId="164" xr:uid="{00000000-0005-0000-0000-000098010000}"/>
    <cellStyle name="스타일 240" xfId="165" xr:uid="{00000000-0005-0000-0000-000099010000}"/>
    <cellStyle name="스타일 241" xfId="166" xr:uid="{00000000-0005-0000-0000-00009A010000}"/>
    <cellStyle name="스타일 242" xfId="167" xr:uid="{00000000-0005-0000-0000-00009B010000}"/>
    <cellStyle name="스타일 243" xfId="168" xr:uid="{00000000-0005-0000-0000-00009C010000}"/>
    <cellStyle name="스타일 244" xfId="169" xr:uid="{00000000-0005-0000-0000-00009D010000}"/>
    <cellStyle name="스타일 245" xfId="170" xr:uid="{00000000-0005-0000-0000-00009E010000}"/>
    <cellStyle name="스타일 25" xfId="171" xr:uid="{00000000-0005-0000-0000-00009F010000}"/>
    <cellStyle name="스타일 26" xfId="172" xr:uid="{00000000-0005-0000-0000-0000A0010000}"/>
    <cellStyle name="스타일 27" xfId="173" xr:uid="{00000000-0005-0000-0000-0000A1010000}"/>
    <cellStyle name="스타일 28" xfId="174" xr:uid="{00000000-0005-0000-0000-0000A2010000}"/>
    <cellStyle name="스타일 29" xfId="175" xr:uid="{00000000-0005-0000-0000-0000A3010000}"/>
    <cellStyle name="스타일 3" xfId="176" xr:uid="{00000000-0005-0000-0000-0000A4010000}"/>
    <cellStyle name="스타일 30" xfId="177" xr:uid="{00000000-0005-0000-0000-0000A5010000}"/>
    <cellStyle name="스타일 31" xfId="178" xr:uid="{00000000-0005-0000-0000-0000A6010000}"/>
    <cellStyle name="스타일 32" xfId="179" xr:uid="{00000000-0005-0000-0000-0000A7010000}"/>
    <cellStyle name="스타일 33" xfId="180" xr:uid="{00000000-0005-0000-0000-0000A8010000}"/>
    <cellStyle name="스타일 34" xfId="181" xr:uid="{00000000-0005-0000-0000-0000A9010000}"/>
    <cellStyle name="스타일 35" xfId="182" xr:uid="{00000000-0005-0000-0000-0000AA010000}"/>
    <cellStyle name="스타일 36" xfId="183" xr:uid="{00000000-0005-0000-0000-0000AB010000}"/>
    <cellStyle name="스타일 37" xfId="184" xr:uid="{00000000-0005-0000-0000-0000AC010000}"/>
    <cellStyle name="스타일 38" xfId="185" xr:uid="{00000000-0005-0000-0000-0000AD010000}"/>
    <cellStyle name="스타일 39" xfId="186" xr:uid="{00000000-0005-0000-0000-0000AE010000}"/>
    <cellStyle name="스타일 4" xfId="187" xr:uid="{00000000-0005-0000-0000-0000AF010000}"/>
    <cellStyle name="스타일 40" xfId="188" xr:uid="{00000000-0005-0000-0000-0000B0010000}"/>
    <cellStyle name="스타일 41" xfId="189" xr:uid="{00000000-0005-0000-0000-0000B1010000}"/>
    <cellStyle name="스타일 42" xfId="190" xr:uid="{00000000-0005-0000-0000-0000B2010000}"/>
    <cellStyle name="스타일 43" xfId="191" xr:uid="{00000000-0005-0000-0000-0000B3010000}"/>
    <cellStyle name="스타일 44" xfId="192" xr:uid="{00000000-0005-0000-0000-0000B4010000}"/>
    <cellStyle name="스타일 45" xfId="193" xr:uid="{00000000-0005-0000-0000-0000B5010000}"/>
    <cellStyle name="스타일 46" xfId="194" xr:uid="{00000000-0005-0000-0000-0000B6010000}"/>
    <cellStyle name="스타일 47" xfId="195" xr:uid="{00000000-0005-0000-0000-0000B7010000}"/>
    <cellStyle name="스타일 48" xfId="196" xr:uid="{00000000-0005-0000-0000-0000B8010000}"/>
    <cellStyle name="스타일 49" xfId="197" xr:uid="{00000000-0005-0000-0000-0000B9010000}"/>
    <cellStyle name="스타일 5" xfId="198" xr:uid="{00000000-0005-0000-0000-0000BA010000}"/>
    <cellStyle name="스타일 50" xfId="199" xr:uid="{00000000-0005-0000-0000-0000BB010000}"/>
    <cellStyle name="스타일 51" xfId="200" xr:uid="{00000000-0005-0000-0000-0000BC010000}"/>
    <cellStyle name="스타일 52" xfId="201" xr:uid="{00000000-0005-0000-0000-0000BD010000}"/>
    <cellStyle name="스타일 53" xfId="202" xr:uid="{00000000-0005-0000-0000-0000BE010000}"/>
    <cellStyle name="스타일 54" xfId="203" xr:uid="{00000000-0005-0000-0000-0000BF010000}"/>
    <cellStyle name="스타일 55" xfId="204" xr:uid="{00000000-0005-0000-0000-0000C0010000}"/>
    <cellStyle name="스타일 56" xfId="205" xr:uid="{00000000-0005-0000-0000-0000C1010000}"/>
    <cellStyle name="스타일 57" xfId="206" xr:uid="{00000000-0005-0000-0000-0000C2010000}"/>
    <cellStyle name="스타일 58" xfId="207" xr:uid="{00000000-0005-0000-0000-0000C3010000}"/>
    <cellStyle name="스타일 59" xfId="208" xr:uid="{00000000-0005-0000-0000-0000C4010000}"/>
    <cellStyle name="스타일 6" xfId="209" xr:uid="{00000000-0005-0000-0000-0000C5010000}"/>
    <cellStyle name="스타일 60" xfId="210" xr:uid="{00000000-0005-0000-0000-0000C6010000}"/>
    <cellStyle name="스타일 61" xfId="211" xr:uid="{00000000-0005-0000-0000-0000C7010000}"/>
    <cellStyle name="스타일 62" xfId="212" xr:uid="{00000000-0005-0000-0000-0000C8010000}"/>
    <cellStyle name="스타일 63" xfId="213" xr:uid="{00000000-0005-0000-0000-0000C9010000}"/>
    <cellStyle name="스타일 64" xfId="214" xr:uid="{00000000-0005-0000-0000-0000CA010000}"/>
    <cellStyle name="스타일 65" xfId="215" xr:uid="{00000000-0005-0000-0000-0000CB010000}"/>
    <cellStyle name="스타일 66" xfId="216" xr:uid="{00000000-0005-0000-0000-0000CC010000}"/>
    <cellStyle name="스타일 67" xfId="217" xr:uid="{00000000-0005-0000-0000-0000CD010000}"/>
    <cellStyle name="스타일 68" xfId="218" xr:uid="{00000000-0005-0000-0000-0000CE010000}"/>
    <cellStyle name="스타일 69" xfId="219" xr:uid="{00000000-0005-0000-0000-0000CF010000}"/>
    <cellStyle name="스타일 7" xfId="220" xr:uid="{00000000-0005-0000-0000-0000D0010000}"/>
    <cellStyle name="스타일 70" xfId="221" xr:uid="{00000000-0005-0000-0000-0000D1010000}"/>
    <cellStyle name="스타일 71" xfId="222" xr:uid="{00000000-0005-0000-0000-0000D2010000}"/>
    <cellStyle name="스타일 72" xfId="223" xr:uid="{00000000-0005-0000-0000-0000D3010000}"/>
    <cellStyle name="스타일 73" xfId="224" xr:uid="{00000000-0005-0000-0000-0000D4010000}"/>
    <cellStyle name="스타일 74" xfId="225" xr:uid="{00000000-0005-0000-0000-0000D5010000}"/>
    <cellStyle name="스타일 75" xfId="226" xr:uid="{00000000-0005-0000-0000-0000D6010000}"/>
    <cellStyle name="스타일 76" xfId="227" xr:uid="{00000000-0005-0000-0000-0000D7010000}"/>
    <cellStyle name="스타일 77" xfId="228" xr:uid="{00000000-0005-0000-0000-0000D8010000}"/>
    <cellStyle name="스타일 78" xfId="229" xr:uid="{00000000-0005-0000-0000-0000D9010000}"/>
    <cellStyle name="스타일 79" xfId="230" xr:uid="{00000000-0005-0000-0000-0000DA010000}"/>
    <cellStyle name="스타일 8" xfId="231" xr:uid="{00000000-0005-0000-0000-0000DB010000}"/>
    <cellStyle name="스타일 80" xfId="232" xr:uid="{00000000-0005-0000-0000-0000DC010000}"/>
    <cellStyle name="스타일 81" xfId="233" xr:uid="{00000000-0005-0000-0000-0000DD010000}"/>
    <cellStyle name="스타일 82" xfId="234" xr:uid="{00000000-0005-0000-0000-0000DE010000}"/>
    <cellStyle name="스타일 83" xfId="235" xr:uid="{00000000-0005-0000-0000-0000DF010000}"/>
    <cellStyle name="스타일 84" xfId="236" xr:uid="{00000000-0005-0000-0000-0000E0010000}"/>
    <cellStyle name="스타일 85" xfId="237" xr:uid="{00000000-0005-0000-0000-0000E1010000}"/>
    <cellStyle name="스타일 86" xfId="238" xr:uid="{00000000-0005-0000-0000-0000E2010000}"/>
    <cellStyle name="스타일 87" xfId="239" xr:uid="{00000000-0005-0000-0000-0000E3010000}"/>
    <cellStyle name="스타일 88" xfId="240" xr:uid="{00000000-0005-0000-0000-0000E4010000}"/>
    <cellStyle name="스타일 89" xfId="241" xr:uid="{00000000-0005-0000-0000-0000E5010000}"/>
    <cellStyle name="스타일 9" xfId="242" xr:uid="{00000000-0005-0000-0000-0000E6010000}"/>
    <cellStyle name="스타일 90" xfId="243" xr:uid="{00000000-0005-0000-0000-0000E7010000}"/>
    <cellStyle name="스타일 91" xfId="244" xr:uid="{00000000-0005-0000-0000-0000E8010000}"/>
    <cellStyle name="스타일 92" xfId="245" xr:uid="{00000000-0005-0000-0000-0000E9010000}"/>
    <cellStyle name="스타일 93" xfId="246" xr:uid="{00000000-0005-0000-0000-0000EA010000}"/>
    <cellStyle name="스타일 94" xfId="247" xr:uid="{00000000-0005-0000-0000-0000EB010000}"/>
    <cellStyle name="스타일 95" xfId="248" xr:uid="{00000000-0005-0000-0000-0000EC010000}"/>
    <cellStyle name="스타일 96" xfId="249" xr:uid="{00000000-0005-0000-0000-0000ED010000}"/>
    <cellStyle name="스타일 97" xfId="250" xr:uid="{00000000-0005-0000-0000-0000EE010000}"/>
    <cellStyle name="스타일 98" xfId="251" xr:uid="{00000000-0005-0000-0000-0000EF010000}"/>
    <cellStyle name="스타일 99" xfId="252" xr:uid="{00000000-0005-0000-0000-0000F0010000}"/>
    <cellStyle name="콤마 [0]_  RANGE " xfId="253" xr:uid="{00000000-0005-0000-0000-0000F1010000}"/>
    <cellStyle name="콤마_  RANGE " xfId="254" xr:uid="{00000000-0005-0000-0000-0000F2010000}"/>
    <cellStyle name="통화 [0]" xfId="1" builtinId="7"/>
    <cellStyle name="표준" xfId="0" builtinId="0"/>
    <cellStyle name="표준 3" xfId="503" xr:uid="{00000000-0005-0000-0000-0000F5010000}"/>
    <cellStyle name="표준 6" xfId="504" xr:uid="{00000000-0005-0000-0000-0000F6010000}"/>
    <cellStyle name="표준_디럭스상소항4일_NO_OPTION-OZ" xfId="2" xr:uid="{00000000-0005-0000-0000-0000F7010000}"/>
    <cellStyle name="표준_백두산" xfId="3" xr:uid="{00000000-0005-0000-0000-0000F8010000}"/>
  </cellStyles>
  <dxfs count="0"/>
  <tableStyles count="0" defaultTableStyle="TableStyleMedium9" defaultPivotStyle="PivotStyleLight16"/>
  <colors>
    <mruColors>
      <color rgb="FF0000FF"/>
      <color rgb="FFF6E7E6"/>
      <color rgb="FFCC0066"/>
      <color rgb="FFF9EEED"/>
      <color rgb="FFE5E5FF"/>
      <color rgb="FFCCCCFF"/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57150</xdr:rowOff>
    </xdr:from>
    <xdr:to>
      <xdr:col>11</xdr:col>
      <xdr:colOff>0</xdr:colOff>
      <xdr:row>2</xdr:row>
      <xdr:rowOff>121920</xdr:rowOff>
    </xdr:to>
    <xdr:pic>
      <xdr:nvPicPr>
        <xdr:cNvPr id="2" name="_x107946656" descr="EMB000030d03d2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7150"/>
          <a:ext cx="7972425" cy="712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8"/>
  <sheetViews>
    <sheetView showGridLines="0" tabSelected="1" zoomScaleSheetLayoutView="100" workbookViewId="0">
      <selection activeCell="D9" sqref="D9:K9"/>
    </sheetView>
  </sheetViews>
  <sheetFormatPr defaultColWidth="8.75" defaultRowHeight="14"/>
  <cols>
    <col min="1" max="1" width="1.75" style="1" customWidth="1"/>
    <col min="2" max="3" width="7.75" style="1" customWidth="1"/>
    <col min="4" max="4" width="7.6640625" style="1" customWidth="1"/>
    <col min="5" max="5" width="7.6640625" style="14" customWidth="1"/>
    <col min="6" max="6" width="15.08203125" style="1" customWidth="1"/>
    <col min="7" max="7" width="7.33203125" style="1" customWidth="1"/>
    <col min="8" max="8" width="8.4140625" style="1" customWidth="1"/>
    <col min="9" max="9" width="13.25" style="1" customWidth="1"/>
    <col min="10" max="10" width="10.33203125" style="1" customWidth="1"/>
    <col min="11" max="11" width="12.6640625" style="1" bestFit="1" customWidth="1"/>
    <col min="12" max="12" width="1.6640625" style="1" customWidth="1"/>
    <col min="13" max="14" width="8.75" style="1"/>
    <col min="15" max="15" width="9.58203125" style="1" bestFit="1" customWidth="1"/>
    <col min="16" max="16384" width="8.75" style="1"/>
  </cols>
  <sheetData>
    <row r="1" spans="1:15" ht="25.5" customHeight="1">
      <c r="B1"/>
      <c r="C1" s="2"/>
      <c r="D1" s="2"/>
      <c r="E1" s="2"/>
      <c r="F1" s="42"/>
      <c r="G1" s="42"/>
      <c r="H1" s="42"/>
      <c r="I1" s="42"/>
      <c r="J1" s="42"/>
      <c r="K1" s="42"/>
      <c r="L1" s="13"/>
      <c r="M1" s="13"/>
      <c r="O1" s="117">
        <f>750000+550000+100000</f>
        <v>1400000</v>
      </c>
    </row>
    <row r="2" spans="1:15" ht="25.5" customHeight="1">
      <c r="B2" s="7"/>
      <c r="C2" s="8"/>
      <c r="D2" s="8"/>
      <c r="E2" s="8"/>
      <c r="F2" s="42"/>
      <c r="G2" s="42"/>
      <c r="H2" s="42"/>
      <c r="I2" s="42"/>
      <c r="J2" s="42"/>
      <c r="K2" s="42"/>
      <c r="L2" s="13"/>
      <c r="M2" s="13"/>
      <c r="O2" s="117">
        <f>O1*4</f>
        <v>5600000</v>
      </c>
    </row>
    <row r="3" spans="1:15" ht="18" customHeight="1" thickBot="1">
      <c r="B3" s="3"/>
      <c r="C3" s="3"/>
      <c r="D3" s="3"/>
      <c r="E3" s="3"/>
      <c r="F3" s="3"/>
      <c r="G3" s="3"/>
      <c r="H3" s="3"/>
      <c r="I3" s="3"/>
      <c r="J3" s="3"/>
      <c r="K3" s="3"/>
      <c r="O3" s="117">
        <f>O2-1200000</f>
        <v>4400000</v>
      </c>
    </row>
    <row r="4" spans="1:15" ht="31.5" customHeight="1">
      <c r="B4" s="43" t="s">
        <v>48</v>
      </c>
      <c r="C4" s="44"/>
      <c r="D4" s="44"/>
      <c r="E4" s="44"/>
      <c r="F4" s="44"/>
      <c r="G4" s="44"/>
      <c r="H4" s="44"/>
      <c r="I4" s="44"/>
      <c r="J4" s="44"/>
      <c r="K4" s="45"/>
    </row>
    <row r="5" spans="1:15" ht="24.75" customHeight="1">
      <c r="B5" s="52" t="s">
        <v>15</v>
      </c>
      <c r="C5" s="53"/>
      <c r="D5" s="51" t="s">
        <v>49</v>
      </c>
      <c r="E5" s="51"/>
      <c r="F5" s="51"/>
      <c r="G5" s="53" t="s">
        <v>19</v>
      </c>
      <c r="H5" s="53"/>
      <c r="I5" s="54" t="s">
        <v>30</v>
      </c>
      <c r="J5" s="54"/>
      <c r="K5" s="55"/>
      <c r="L5" s="22"/>
    </row>
    <row r="6" spans="1:15" ht="24.75" customHeight="1">
      <c r="B6" s="52" t="s">
        <v>16</v>
      </c>
      <c r="C6" s="53"/>
      <c r="D6" s="51" t="s">
        <v>50</v>
      </c>
      <c r="E6" s="51"/>
      <c r="F6" s="51"/>
      <c r="G6" s="53" t="s">
        <v>20</v>
      </c>
      <c r="H6" s="53"/>
      <c r="I6" s="54" t="s">
        <v>65</v>
      </c>
      <c r="J6" s="54"/>
      <c r="K6" s="55"/>
      <c r="L6" s="22"/>
    </row>
    <row r="7" spans="1:15" ht="24.75" customHeight="1">
      <c r="B7" s="52" t="s">
        <v>17</v>
      </c>
      <c r="C7" s="53"/>
      <c r="D7" s="57" t="s">
        <v>51</v>
      </c>
      <c r="E7" s="57"/>
      <c r="F7" s="57"/>
      <c r="G7" s="53" t="s">
        <v>40</v>
      </c>
      <c r="H7" s="53"/>
      <c r="I7" s="56" t="s">
        <v>56</v>
      </c>
      <c r="J7" s="54"/>
      <c r="K7" s="55"/>
      <c r="L7" s="22"/>
    </row>
    <row r="8" spans="1:15" ht="24.75" customHeight="1">
      <c r="B8" s="52" t="s">
        <v>18</v>
      </c>
      <c r="C8" s="53"/>
      <c r="D8" s="51" t="s">
        <v>52</v>
      </c>
      <c r="E8" s="51"/>
      <c r="F8" s="51"/>
      <c r="G8" s="53" t="s">
        <v>21</v>
      </c>
      <c r="H8" s="53"/>
      <c r="I8" s="77" t="s">
        <v>57</v>
      </c>
      <c r="J8" s="77"/>
      <c r="K8" s="78"/>
      <c r="L8" s="22"/>
    </row>
    <row r="9" spans="1:15" s="4" customFormat="1" ht="37.5" customHeight="1">
      <c r="B9" s="46" t="s">
        <v>1</v>
      </c>
      <c r="C9" s="47"/>
      <c r="D9" s="48" t="s">
        <v>41</v>
      </c>
      <c r="E9" s="49"/>
      <c r="F9" s="49"/>
      <c r="G9" s="49"/>
      <c r="H9" s="49"/>
      <c r="I9" s="49"/>
      <c r="J9" s="49"/>
      <c r="K9" s="50"/>
    </row>
    <row r="10" spans="1:15" s="4" customFormat="1" ht="30" customHeight="1">
      <c r="B10" s="79" t="s">
        <v>2</v>
      </c>
      <c r="C10" s="80"/>
      <c r="D10" s="81" t="s">
        <v>42</v>
      </c>
      <c r="E10" s="82"/>
      <c r="F10" s="82"/>
      <c r="G10" s="82"/>
      <c r="H10" s="82"/>
      <c r="I10" s="82"/>
      <c r="J10" s="82"/>
      <c r="K10" s="83"/>
    </row>
    <row r="11" spans="1:15" s="4" customFormat="1" ht="36" customHeight="1" thickBot="1">
      <c r="B11" s="79" t="s">
        <v>34</v>
      </c>
      <c r="C11" s="80"/>
      <c r="D11" s="81" t="s">
        <v>54</v>
      </c>
      <c r="E11" s="82"/>
      <c r="F11" s="82"/>
      <c r="G11" s="82"/>
      <c r="H11" s="82"/>
      <c r="I11" s="82"/>
      <c r="J11" s="82"/>
      <c r="K11" s="83"/>
    </row>
    <row r="12" spans="1:15" s="4" customFormat="1" ht="26.25" customHeight="1" thickTop="1">
      <c r="A12" s="20"/>
      <c r="B12" s="108" t="s">
        <v>14</v>
      </c>
      <c r="C12" s="109"/>
      <c r="D12" s="87" t="s">
        <v>58</v>
      </c>
      <c r="E12" s="88"/>
      <c r="F12" s="88"/>
      <c r="G12" s="88"/>
      <c r="H12" s="88"/>
      <c r="I12" s="88"/>
      <c r="J12" s="88"/>
      <c r="K12" s="89"/>
      <c r="L12" s="21"/>
    </row>
    <row r="13" spans="1:15" s="4" customFormat="1" ht="26.25" customHeight="1">
      <c r="B13" s="110"/>
      <c r="C13" s="111"/>
      <c r="D13" s="93" t="s">
        <v>47</v>
      </c>
      <c r="E13" s="94"/>
      <c r="F13" s="94"/>
      <c r="G13" s="94"/>
      <c r="H13" s="94"/>
      <c r="I13" s="94"/>
      <c r="J13" s="94"/>
      <c r="K13" s="95"/>
    </row>
    <row r="14" spans="1:15" s="4" customFormat="1" ht="33" customHeight="1">
      <c r="B14" s="110"/>
      <c r="C14" s="111"/>
      <c r="D14" s="105" t="s">
        <v>68</v>
      </c>
      <c r="E14" s="106"/>
      <c r="F14" s="106"/>
      <c r="G14" s="106"/>
      <c r="H14" s="106"/>
      <c r="I14" s="106"/>
      <c r="J14" s="106"/>
      <c r="K14" s="107"/>
    </row>
    <row r="15" spans="1:15" s="4" customFormat="1" ht="26.25" customHeight="1" thickBot="1">
      <c r="B15" s="112"/>
      <c r="C15" s="113"/>
      <c r="D15" s="84" t="s">
        <v>46</v>
      </c>
      <c r="E15" s="85"/>
      <c r="F15" s="85"/>
      <c r="G15" s="85"/>
      <c r="H15" s="85"/>
      <c r="I15" s="85"/>
      <c r="J15" s="85"/>
      <c r="K15" s="86"/>
    </row>
    <row r="16" spans="1:15" s="5" customFormat="1" ht="15.75" customHeight="1" thickBot="1">
      <c r="B16" s="23" t="s">
        <v>0</v>
      </c>
      <c r="C16" s="15" t="s">
        <v>4</v>
      </c>
      <c r="D16" s="31" t="s">
        <v>7</v>
      </c>
      <c r="E16" s="16" t="s">
        <v>3</v>
      </c>
      <c r="F16" s="114" t="s">
        <v>6</v>
      </c>
      <c r="G16" s="115"/>
      <c r="H16" s="115"/>
      <c r="I16" s="115"/>
      <c r="J16" s="116"/>
      <c r="K16" s="34" t="s">
        <v>5</v>
      </c>
    </row>
    <row r="17" spans="2:11" s="6" customFormat="1" ht="24" customHeight="1">
      <c r="B17" s="24" t="s">
        <v>10</v>
      </c>
      <c r="C17" s="10" t="s">
        <v>59</v>
      </c>
      <c r="D17" s="17" t="s">
        <v>73</v>
      </c>
      <c r="E17" s="33" t="s">
        <v>69</v>
      </c>
      <c r="F17" s="96" t="s">
        <v>60</v>
      </c>
      <c r="G17" s="97"/>
      <c r="H17" s="97"/>
      <c r="I17" s="97"/>
      <c r="J17" s="98"/>
      <c r="K17" s="25" t="s">
        <v>61</v>
      </c>
    </row>
    <row r="18" spans="2:11" s="6" customFormat="1" ht="24" customHeight="1">
      <c r="B18" s="24">
        <v>45764</v>
      </c>
      <c r="C18" s="10" t="s">
        <v>11</v>
      </c>
      <c r="D18" s="17"/>
      <c r="E18" s="33" t="s">
        <v>70</v>
      </c>
      <c r="F18" s="99" t="s">
        <v>13</v>
      </c>
      <c r="G18" s="100"/>
      <c r="H18" s="100"/>
      <c r="I18" s="100"/>
      <c r="J18" s="101"/>
      <c r="K18" s="25"/>
    </row>
    <row r="19" spans="2:11" s="6" customFormat="1" ht="24" customHeight="1">
      <c r="B19" s="35" t="s">
        <v>66</v>
      </c>
      <c r="C19" s="10"/>
      <c r="D19" s="9" t="s">
        <v>8</v>
      </c>
      <c r="E19" s="33"/>
      <c r="F19" s="102" t="s">
        <v>35</v>
      </c>
      <c r="G19" s="103"/>
      <c r="H19" s="103"/>
      <c r="I19" s="103"/>
      <c r="J19" s="104"/>
      <c r="K19" s="26"/>
    </row>
    <row r="20" spans="2:11" s="6" customFormat="1" ht="24" customHeight="1" thickBot="1">
      <c r="B20" s="27"/>
      <c r="C20" s="12"/>
      <c r="D20" s="11"/>
      <c r="E20" s="12"/>
      <c r="F20" s="74" t="s">
        <v>53</v>
      </c>
      <c r="G20" s="75"/>
      <c r="H20" s="75"/>
      <c r="I20" s="75"/>
      <c r="J20" s="76"/>
      <c r="K20" s="28"/>
    </row>
    <row r="21" spans="2:11" s="6" customFormat="1" ht="24" customHeight="1">
      <c r="B21" s="29" t="s">
        <v>12</v>
      </c>
      <c r="C21" s="10" t="s">
        <v>11</v>
      </c>
      <c r="D21" s="9" t="s">
        <v>8</v>
      </c>
      <c r="E21" s="10" t="s">
        <v>23</v>
      </c>
      <c r="F21" s="62" t="s">
        <v>26</v>
      </c>
      <c r="G21" s="63"/>
      <c r="H21" s="63"/>
      <c r="I21" s="63"/>
      <c r="J21" s="64"/>
      <c r="K21" s="32" t="s">
        <v>29</v>
      </c>
    </row>
    <row r="22" spans="2:11" s="6" customFormat="1" ht="24" customHeight="1">
      <c r="B22" s="24">
        <v>45765</v>
      </c>
      <c r="C22" s="10"/>
      <c r="D22" s="9"/>
      <c r="E22" s="10"/>
      <c r="F22" s="65" t="s">
        <v>36</v>
      </c>
      <c r="G22" s="66"/>
      <c r="H22" s="66"/>
      <c r="I22" s="66"/>
      <c r="J22" s="67"/>
      <c r="K22" s="25" t="s">
        <v>27</v>
      </c>
    </row>
    <row r="23" spans="2:11" s="6" customFormat="1" ht="24" customHeight="1">
      <c r="B23" s="35" t="s">
        <v>67</v>
      </c>
      <c r="C23" s="10"/>
      <c r="D23" s="9"/>
      <c r="E23" s="10"/>
      <c r="F23" s="68" t="s">
        <v>22</v>
      </c>
      <c r="G23" s="69"/>
      <c r="H23" s="69"/>
      <c r="I23" s="69"/>
      <c r="J23" s="70"/>
      <c r="K23" s="25" t="s">
        <v>43</v>
      </c>
    </row>
    <row r="24" spans="2:11" s="6" customFormat="1" ht="24" customHeight="1">
      <c r="B24" s="24"/>
      <c r="C24" s="10"/>
      <c r="D24" s="9"/>
      <c r="E24" s="10"/>
      <c r="F24" s="68" t="s">
        <v>32</v>
      </c>
      <c r="G24" s="69"/>
      <c r="H24" s="69"/>
      <c r="I24" s="69"/>
      <c r="J24" s="70"/>
      <c r="K24" s="25"/>
    </row>
    <row r="25" spans="2:11" s="6" customFormat="1" ht="24" customHeight="1">
      <c r="B25" s="24"/>
      <c r="C25" s="10"/>
      <c r="D25" s="9"/>
      <c r="E25" s="10"/>
      <c r="F25" s="71" t="s">
        <v>25</v>
      </c>
      <c r="G25" s="72"/>
      <c r="H25" s="72"/>
      <c r="I25" s="72"/>
      <c r="J25" s="73"/>
      <c r="K25" s="25"/>
    </row>
    <row r="26" spans="2:11" s="6" customFormat="1" ht="24" customHeight="1" thickBot="1">
      <c r="B26" s="27"/>
      <c r="C26" s="12"/>
      <c r="D26" s="11"/>
      <c r="E26" s="12"/>
      <c r="F26" s="74" t="s">
        <v>53</v>
      </c>
      <c r="G26" s="75"/>
      <c r="H26" s="75"/>
      <c r="I26" s="75"/>
      <c r="J26" s="76"/>
      <c r="K26" s="28"/>
    </row>
    <row r="27" spans="2:11" s="6" customFormat="1" ht="24" customHeight="1">
      <c r="B27" s="29" t="s">
        <v>24</v>
      </c>
      <c r="C27" s="10" t="s">
        <v>11</v>
      </c>
      <c r="D27" s="9" t="s">
        <v>8</v>
      </c>
      <c r="E27" s="10" t="s">
        <v>23</v>
      </c>
      <c r="F27" s="62" t="s">
        <v>26</v>
      </c>
      <c r="G27" s="63"/>
      <c r="H27" s="63"/>
      <c r="I27" s="63"/>
      <c r="J27" s="64"/>
      <c r="K27" s="32" t="s">
        <v>29</v>
      </c>
    </row>
    <row r="28" spans="2:11" s="6" customFormat="1" ht="24" customHeight="1">
      <c r="B28" s="24">
        <v>45766</v>
      </c>
      <c r="C28" s="10"/>
      <c r="D28" s="9"/>
      <c r="E28" s="10"/>
      <c r="F28" s="65" t="s">
        <v>36</v>
      </c>
      <c r="G28" s="66"/>
      <c r="H28" s="66"/>
      <c r="I28" s="66"/>
      <c r="J28" s="67"/>
      <c r="K28" s="25" t="s">
        <v>27</v>
      </c>
    </row>
    <row r="29" spans="2:11" s="6" customFormat="1" ht="24" customHeight="1">
      <c r="B29" s="35" t="s">
        <v>33</v>
      </c>
      <c r="C29" s="10"/>
      <c r="D29" s="9"/>
      <c r="E29" s="10"/>
      <c r="F29" s="68" t="s">
        <v>22</v>
      </c>
      <c r="G29" s="69"/>
      <c r="H29" s="69"/>
      <c r="I29" s="69"/>
      <c r="J29" s="70"/>
      <c r="K29" s="25" t="s">
        <v>44</v>
      </c>
    </row>
    <row r="30" spans="2:11" s="6" customFormat="1" ht="24" customHeight="1">
      <c r="B30" s="24"/>
      <c r="C30" s="10"/>
      <c r="D30" s="9"/>
      <c r="E30" s="10"/>
      <c r="F30" s="68" t="s">
        <v>32</v>
      </c>
      <c r="G30" s="69"/>
      <c r="H30" s="69"/>
      <c r="I30" s="69"/>
      <c r="J30" s="70"/>
      <c r="K30" s="25"/>
    </row>
    <row r="31" spans="2:11" s="6" customFormat="1" ht="24" customHeight="1">
      <c r="B31" s="24"/>
      <c r="C31" s="10"/>
      <c r="D31" s="9"/>
      <c r="E31" s="10"/>
      <c r="F31" s="71" t="s">
        <v>25</v>
      </c>
      <c r="G31" s="72"/>
      <c r="H31" s="72"/>
      <c r="I31" s="72"/>
      <c r="J31" s="73"/>
      <c r="K31" s="25"/>
    </row>
    <row r="32" spans="2:11" s="6" customFormat="1" ht="24" customHeight="1" thickBot="1">
      <c r="B32" s="27"/>
      <c r="C32" s="12"/>
      <c r="D32" s="11"/>
      <c r="E32" s="12"/>
      <c r="F32" s="74" t="s">
        <v>53</v>
      </c>
      <c r="G32" s="75"/>
      <c r="H32" s="75"/>
      <c r="I32" s="75"/>
      <c r="J32" s="76"/>
      <c r="K32" s="28"/>
    </row>
    <row r="33" spans="2:11" s="6" customFormat="1" ht="24" customHeight="1">
      <c r="B33" s="29" t="s">
        <v>31</v>
      </c>
      <c r="C33" s="10" t="s">
        <v>11</v>
      </c>
      <c r="D33" s="9" t="s">
        <v>8</v>
      </c>
      <c r="E33" s="10" t="s">
        <v>23</v>
      </c>
      <c r="F33" s="62" t="s">
        <v>26</v>
      </c>
      <c r="G33" s="63"/>
      <c r="H33" s="63"/>
      <c r="I33" s="63"/>
      <c r="J33" s="64"/>
      <c r="K33" s="32" t="s">
        <v>29</v>
      </c>
    </row>
    <row r="34" spans="2:11" s="6" customFormat="1" ht="24" customHeight="1">
      <c r="B34" s="24">
        <v>45767</v>
      </c>
      <c r="C34" s="10"/>
      <c r="D34" s="9"/>
      <c r="E34" s="10"/>
      <c r="F34" s="65" t="s">
        <v>36</v>
      </c>
      <c r="G34" s="66"/>
      <c r="H34" s="66"/>
      <c r="I34" s="66"/>
      <c r="J34" s="67"/>
      <c r="K34" s="25" t="s">
        <v>27</v>
      </c>
    </row>
    <row r="35" spans="2:11" s="6" customFormat="1" ht="24" customHeight="1">
      <c r="B35" s="35" t="s">
        <v>55</v>
      </c>
      <c r="C35" s="10"/>
      <c r="D35" s="9"/>
      <c r="E35" s="10"/>
      <c r="F35" s="68" t="s">
        <v>22</v>
      </c>
      <c r="G35" s="69"/>
      <c r="H35" s="69"/>
      <c r="I35" s="69"/>
      <c r="J35" s="70"/>
      <c r="K35" s="25" t="s">
        <v>45</v>
      </c>
    </row>
    <row r="36" spans="2:11" s="6" customFormat="1" ht="24" customHeight="1">
      <c r="B36" s="35"/>
      <c r="C36" s="10"/>
      <c r="D36" s="9"/>
      <c r="E36" s="10"/>
      <c r="F36" s="68" t="s">
        <v>38</v>
      </c>
      <c r="G36" s="69"/>
      <c r="H36" s="69"/>
      <c r="I36" s="69"/>
      <c r="J36" s="70"/>
      <c r="K36" s="25"/>
    </row>
    <row r="37" spans="2:11" s="6" customFormat="1" ht="24" customHeight="1">
      <c r="B37" s="35"/>
      <c r="C37" s="10"/>
      <c r="D37" s="9"/>
      <c r="E37" s="10"/>
      <c r="F37" s="39" t="s">
        <v>39</v>
      </c>
      <c r="G37" s="40"/>
      <c r="H37" s="40"/>
      <c r="I37" s="40"/>
      <c r="J37" s="41"/>
      <c r="K37" s="25"/>
    </row>
    <row r="38" spans="2:11" s="6" customFormat="1" ht="24" customHeight="1" thickBot="1">
      <c r="B38" s="24"/>
      <c r="C38" s="10"/>
      <c r="D38" s="17" t="s">
        <v>74</v>
      </c>
      <c r="E38" s="33" t="s">
        <v>71</v>
      </c>
      <c r="F38" s="90" t="s">
        <v>37</v>
      </c>
      <c r="G38" s="91"/>
      <c r="H38" s="91"/>
      <c r="I38" s="91"/>
      <c r="J38" s="92"/>
      <c r="K38" s="25"/>
    </row>
    <row r="39" spans="2:11" s="6" customFormat="1" ht="24" customHeight="1">
      <c r="B39" s="29" t="s">
        <v>28</v>
      </c>
      <c r="C39" s="36" t="s">
        <v>59</v>
      </c>
      <c r="D39" s="37"/>
      <c r="E39" s="38" t="s">
        <v>72</v>
      </c>
      <c r="F39" s="62" t="s">
        <v>63</v>
      </c>
      <c r="G39" s="63"/>
      <c r="H39" s="63"/>
      <c r="I39" s="63"/>
      <c r="J39" s="64"/>
      <c r="K39" s="32" t="s">
        <v>64</v>
      </c>
    </row>
    <row r="40" spans="2:11" s="6" customFormat="1" ht="24" customHeight="1" thickBot="1">
      <c r="B40" s="27">
        <v>45768</v>
      </c>
      <c r="C40" s="12"/>
      <c r="D40" s="18"/>
      <c r="E40" s="19"/>
      <c r="F40" s="59" t="s">
        <v>62</v>
      </c>
      <c r="G40" s="60"/>
      <c r="H40" s="60"/>
      <c r="I40" s="60"/>
      <c r="J40" s="61"/>
      <c r="K40" s="30"/>
    </row>
    <row r="41" spans="2:11" s="4" customFormat="1" ht="24" customHeight="1">
      <c r="B41" s="58" t="s">
        <v>9</v>
      </c>
      <c r="C41" s="58"/>
      <c r="D41" s="58"/>
      <c r="E41" s="58"/>
      <c r="F41" s="58"/>
      <c r="G41" s="58"/>
      <c r="H41" s="58"/>
      <c r="I41" s="58"/>
      <c r="J41" s="58"/>
      <c r="K41" s="58"/>
    </row>
    <row r="42" spans="2:11" ht="15" customHeight="1"/>
    <row r="43" spans="2:11" ht="15" customHeight="1"/>
    <row r="44" spans="2:11" ht="15" customHeight="1"/>
    <row r="45" spans="2:11" ht="15" customHeight="1"/>
    <row r="46" spans="2:11" ht="15" customHeight="1"/>
    <row r="47" spans="2:11" ht="15" customHeight="1"/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</sheetData>
  <mergeCells count="54">
    <mergeCell ref="B12:C15"/>
    <mergeCell ref="F36:J36"/>
    <mergeCell ref="B10:C10"/>
    <mergeCell ref="D10:K10"/>
    <mergeCell ref="F16:J16"/>
    <mergeCell ref="F34:J34"/>
    <mergeCell ref="F35:J35"/>
    <mergeCell ref="F38:J38"/>
    <mergeCell ref="F32:J32"/>
    <mergeCell ref="D8:F8"/>
    <mergeCell ref="D13:K13"/>
    <mergeCell ref="F30:J30"/>
    <mergeCell ref="F31:J31"/>
    <mergeCell ref="F17:J17"/>
    <mergeCell ref="F20:J20"/>
    <mergeCell ref="F33:J33"/>
    <mergeCell ref="F18:J18"/>
    <mergeCell ref="F19:J19"/>
    <mergeCell ref="F27:J27"/>
    <mergeCell ref="F28:J28"/>
    <mergeCell ref="F29:J29"/>
    <mergeCell ref="D14:K14"/>
    <mergeCell ref="G7:H7"/>
    <mergeCell ref="G8:H8"/>
    <mergeCell ref="B41:K41"/>
    <mergeCell ref="F40:J40"/>
    <mergeCell ref="F39:J39"/>
    <mergeCell ref="F21:J21"/>
    <mergeCell ref="F22:J22"/>
    <mergeCell ref="F23:J23"/>
    <mergeCell ref="F24:J24"/>
    <mergeCell ref="F25:J25"/>
    <mergeCell ref="F26:J26"/>
    <mergeCell ref="I8:K8"/>
    <mergeCell ref="B11:C11"/>
    <mergeCell ref="D11:K11"/>
    <mergeCell ref="D15:K15"/>
    <mergeCell ref="D12:K12"/>
    <mergeCell ref="F1:K2"/>
    <mergeCell ref="B4:K4"/>
    <mergeCell ref="B9:C9"/>
    <mergeCell ref="D9:K9"/>
    <mergeCell ref="D5:F5"/>
    <mergeCell ref="B5:C5"/>
    <mergeCell ref="B6:C6"/>
    <mergeCell ref="B7:C7"/>
    <mergeCell ref="B8:C8"/>
    <mergeCell ref="I5:K5"/>
    <mergeCell ref="I6:K6"/>
    <mergeCell ref="I7:K7"/>
    <mergeCell ref="G5:H5"/>
    <mergeCell ref="G6:H6"/>
    <mergeCell ref="D6:F6"/>
    <mergeCell ref="D7:F7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76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youyou28769@gmail.com</cp:lastModifiedBy>
  <cp:lastPrinted>2025-02-10T08:34:00Z</cp:lastPrinted>
  <dcterms:created xsi:type="dcterms:W3CDTF">2011-12-14T08:39:15Z</dcterms:created>
  <dcterms:modified xsi:type="dcterms:W3CDTF">2025-02-11T02:58:13Z</dcterms:modified>
</cp:coreProperties>
</file>