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DAB7CFDD-6B20-4F18-9D9E-3B3EBC08396E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8" l="1"/>
  <c r="K15" i="8" s="1"/>
  <c r="E15" i="8"/>
  <c r="H11" i="8"/>
  <c r="M4" i="8"/>
  <c r="C11" i="8"/>
  <c r="D11" i="8" s="1"/>
  <c r="J12" i="8" l="1"/>
  <c r="K11" i="8"/>
  <c r="D7" i="8"/>
  <c r="D6" i="8"/>
  <c r="D12" i="8" l="1"/>
  <c r="D13" i="8" s="1"/>
  <c r="C12" i="8"/>
  <c r="C13" i="8" s="1"/>
  <c r="C14" i="8" s="1"/>
  <c r="D14" i="8" s="1"/>
  <c r="J17" i="6" l="1"/>
  <c r="J16" i="6"/>
  <c r="J15" i="6"/>
  <c r="J14" i="6"/>
  <c r="J13" i="6"/>
  <c r="J12" i="6"/>
  <c r="J10" i="6"/>
  <c r="J19" i="6" l="1"/>
  <c r="L3" i="6" s="1"/>
</calcChain>
</file>

<file path=xl/sharedStrings.xml><?xml version="1.0" encoding="utf-8"?>
<sst xmlns="http://schemas.openxmlformats.org/spreadsheetml/2006/main" count="103" uniqueCount="81">
  <si>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</si>
  <si>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</si>
  <si>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</si>
  <si>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</si>
  <si>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</si>
  <si>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</si>
  <si>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</si>
  <si>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</si>
  <si>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</si>
  <si>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</si>
  <si>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</si>
  <si>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</si>
  <si>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</si>
  <si>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</si>
  <si>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</si>
  <si>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</si>
  <si>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</si>
  <si>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</si>
  <si>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</si>
  <si>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</si>
  <si>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</si>
  <si>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</si>
  <si>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</si>
  <si>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</si>
  <si>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</si>
  <si>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</si>
  <si>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</si>
  <si>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</si>
  <si>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</si>
  <si>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</si>
  <si>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</si>
  <si>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</si>
  <si>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</si>
  <si>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</si>
  <si>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</si>
  <si>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</si>
  <si>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</si>
  <si>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</si>
  <si>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</si>
  <si>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</si>
  <si>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</si>
  <si>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</si>
  <si>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</si>
  <si>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</si>
  <si>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</si>
  <si>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</si>
  <si>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</si>
  <si>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</si>
  <si>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</si>
  <si>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</si>
  <si>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</si>
  <si>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</si>
  <si>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</si>
  <si>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</si>
  <si>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</si>
  <si>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</si>
  <si>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</si>
  <si>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</si>
  <si>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</si>
  <si>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</si>
  <si>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</si>
  <si>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</si>
  <si>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</si>
  <si>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</si>
  <si>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</si>
  <si>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</si>
  <si>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</si>
  <si>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</si>
  <si>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t>기타</t>
    <phoneticPr fontId="1" type="noConversion"/>
  </si>
  <si>
    <t>백호산님</t>
    <phoneticPr fontId="1" type="noConversion"/>
  </si>
  <si>
    <t>[일본 클라세 골프투어 인보이스]</t>
    <phoneticPr fontId="1" type="noConversion"/>
  </si>
  <si>
    <t>12인</t>
    <phoneticPr fontId="1" type="noConversion"/>
  </si>
  <si>
    <t>■항공 :
07/10(목) 김해치토세 13:50
07/13(일) 치토세김해 17:15</t>
    <phoneticPr fontId="1" type="noConversion"/>
  </si>
  <si>
    <t>일정</t>
    <phoneticPr fontId="1" type="noConversion"/>
  </si>
  <si>
    <t>김해 국제공항 개별 체크인 및 출발
신치토세공항 도착 후 기사와 미팅
호텔로 이동 (약 40~50분 소요)
호텔 체크인
자유 석식 및 온쳔욕 휴식</t>
    <phoneticPr fontId="1" type="noConversion"/>
  </si>
  <si>
    <t>호텔조식 후 도보로 골프장 이동
기타히로시마CC 18홀 셀프플레이
라운딩 종료 후 호텔로 이동
자유 석식 및 온천욕 휴식</t>
    <phoneticPr fontId="1" type="noConversion"/>
  </si>
  <si>
    <t>호텔조식 후 체크아웃
기사와 미팅 후 골프장으로 이동
삿포로 썬파크CC 18홀 셀프플레이
기사와 미팅 후 공항으로 이동
신치토세 국제공항 출발
김해 국제공항 도착</t>
    <phoneticPr fontId="1" type="noConversion"/>
  </si>
  <si>
    <t>왕복항공료, 호텔(2인1실), 골프 18홀 
3회(그린피, 카트피, 락커피), 송영차량, 
호텔조식</t>
    <phoneticPr fontId="1" type="noConversion"/>
  </si>
  <si>
    <t>중식, 석식, 여행자보험</t>
    <phoneticPr fontId="1" type="noConversion"/>
  </si>
  <si>
    <r>
      <t xml:space="preserve">▶하기 일정은 현지 사정에 의하여 변동될 수 있습니다.(천재지변으로 인한 일정 변경은 손님 부담)
▶북해도 골프장은 기본 스루플레이인 관계로 점심시간 휴게시간 없이 진행됩니다.
▶골프장 송영차량은 단독차량이 아닌 관계로 출발시간 엄수, 다른 분들과 동승하셔야 하므로 대기시간 발생할 수 있습니다.
▶골프장 송영차량은 골프장 - 호텔간의 송영만 가능하며 개인용도는 사용이 불가능합니다.
▶티오프시간이 빠른 경우 조식은 골프장 클럽하우스나 샌드위치나 도시락으로 대체될 수 있습니다.
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>◈저가항공 무료위탁수화물 15kg/ 기내반입 10kg</t>
    </r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</si>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</sst>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1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30" xfId="1" applyFont="1" applyFill="1" applyBorder="1" applyAlignment="1">
      <alignment horizontal="center" vertical="center" wrapText="1"/>
    </xf>
    <xf numFmtId="41" fontId="5" fillId="2" borderId="31" xfId="1" applyFont="1" applyFill="1" applyBorder="1" applyAlignment="1">
      <alignment horizontal="center" vertical="center" wrapText="1"/>
    </xf>
    <xf numFmtId="41" fontId="5" fillId="2" borderId="32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44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5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83127</xdr:colOff>
      <xdr:row>0</xdr:row>
      <xdr:rowOff>83127</xdr:rowOff>
    </xdr:from>
    <xdr:to>
      <xdr:col>12</xdr:col>
      <xdr:colOff>1129101</xdr:colOff>
      <xdr:row>2</xdr:row>
      <xdr:rowOff>2573907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818" y="83127"/>
          <a:ext cx="9092331" cy="2837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80" t="s">
        <v>8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76"/>
    </row>
    <row r="2" spans="2:20" ht="20.25" customHeight="1" thickBot="1" x14ac:dyDescent="0.5">
      <c r="B2" s="105" t="s">
        <v>31</v>
      </c>
      <c r="C2" s="105"/>
      <c r="D2" s="105"/>
      <c r="E2" s="1"/>
      <c r="F2" s="1"/>
      <c r="G2" s="1"/>
      <c r="H2" s="1"/>
      <c r="I2" s="1"/>
      <c r="J2" s="1"/>
      <c r="K2" s="1"/>
      <c r="L2" s="1"/>
      <c r="M2" s="76"/>
    </row>
    <row r="3" spans="2:20" ht="24" customHeight="1" x14ac:dyDescent="0.45">
      <c r="B3" s="11" t="s">
        <v>0</v>
      </c>
      <c r="C3" s="106" t="s">
        <v>32</v>
      </c>
      <c r="D3" s="107"/>
      <c r="E3" s="15" t="s">
        <v>16</v>
      </c>
      <c r="F3" s="106"/>
      <c r="G3" s="107"/>
      <c r="H3" s="15" t="s">
        <v>28</v>
      </c>
      <c r="I3" s="115" t="s">
        <v>46</v>
      </c>
      <c r="J3" s="116"/>
      <c r="K3" s="15" t="s">
        <v>2</v>
      </c>
      <c r="L3" s="3">
        <f>J19</f>
        <v>3969200</v>
      </c>
      <c r="M3" s="76"/>
      <c r="O3" s="48"/>
      <c r="P3" s="49"/>
      <c r="Q3" s="49"/>
      <c r="R3" s="49"/>
      <c r="S3" s="49"/>
      <c r="T3" s="49"/>
    </row>
    <row r="4" spans="2:20" ht="24" customHeight="1" x14ac:dyDescent="0.45">
      <c r="B4" s="12" t="s">
        <v>1</v>
      </c>
      <c r="C4" s="53">
        <v>6</v>
      </c>
      <c r="D4" s="54"/>
      <c r="E4" s="14" t="s">
        <v>21</v>
      </c>
      <c r="F4" s="55"/>
      <c r="G4" s="56"/>
      <c r="H4" s="56"/>
      <c r="I4" s="56"/>
      <c r="J4" s="56"/>
      <c r="K4" s="56"/>
      <c r="L4" s="57"/>
      <c r="M4" s="76"/>
      <c r="O4" s="49"/>
      <c r="P4" s="49"/>
      <c r="Q4" s="49"/>
      <c r="R4" s="49"/>
      <c r="S4" s="49"/>
      <c r="T4" s="49"/>
    </row>
    <row r="5" spans="2:20" ht="33" customHeight="1" x14ac:dyDescent="0.45">
      <c r="B5" s="67" t="s">
        <v>4</v>
      </c>
      <c r="C5" s="2" t="s">
        <v>5</v>
      </c>
      <c r="D5" s="69">
        <v>42427</v>
      </c>
      <c r="E5" s="70"/>
      <c r="F5" s="71"/>
      <c r="G5" s="119" t="s">
        <v>33</v>
      </c>
      <c r="H5" s="14" t="s">
        <v>11</v>
      </c>
      <c r="I5" s="72" t="s">
        <v>57</v>
      </c>
      <c r="J5" s="73"/>
      <c r="K5" s="73"/>
      <c r="L5" s="74"/>
      <c r="M5" s="76"/>
      <c r="O5" s="49"/>
      <c r="P5" s="49"/>
      <c r="Q5" s="49"/>
      <c r="R5" s="49"/>
      <c r="S5" s="49"/>
      <c r="T5" s="49"/>
    </row>
    <row r="6" spans="2:20" ht="28.5" customHeight="1" x14ac:dyDescent="0.45">
      <c r="B6" s="68"/>
      <c r="C6" s="5" t="s">
        <v>6</v>
      </c>
      <c r="D6" s="69">
        <v>42429</v>
      </c>
      <c r="E6" s="70"/>
      <c r="F6" s="71"/>
      <c r="G6" s="120"/>
      <c r="H6" s="16" t="s">
        <v>7</v>
      </c>
      <c r="I6" s="72" t="s">
        <v>13</v>
      </c>
      <c r="J6" s="73"/>
      <c r="K6" s="73"/>
      <c r="L6" s="74"/>
      <c r="M6" s="76"/>
      <c r="O6" s="49"/>
      <c r="P6" s="49"/>
      <c r="Q6" s="49"/>
      <c r="R6" s="49"/>
      <c r="S6" s="49"/>
      <c r="T6" s="49"/>
    </row>
    <row r="7" spans="2:20" ht="36.75" customHeight="1" thickBot="1" x14ac:dyDescent="0.5">
      <c r="B7" s="13" t="s">
        <v>17</v>
      </c>
      <c r="C7" s="50"/>
      <c r="D7" s="51"/>
      <c r="E7" s="51"/>
      <c r="F7" s="51"/>
      <c r="G7" s="51"/>
      <c r="H7" s="51"/>
      <c r="I7" s="51"/>
      <c r="J7" s="51"/>
      <c r="K7" s="51"/>
      <c r="L7" s="52"/>
      <c r="M7" s="76"/>
      <c r="O7" s="49"/>
      <c r="P7" s="49"/>
      <c r="Q7" s="49"/>
      <c r="R7" s="49"/>
      <c r="S7" s="49"/>
      <c r="T7" s="49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6"/>
      <c r="O8" s="49"/>
      <c r="P8" s="49"/>
      <c r="Q8" s="49"/>
      <c r="R8" s="49"/>
      <c r="S8" s="49"/>
      <c r="T8" s="49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121" t="s">
        <v>26</v>
      </c>
      <c r="F9" s="118"/>
      <c r="G9" s="9" t="s">
        <v>25</v>
      </c>
      <c r="H9" s="9" t="s">
        <v>3</v>
      </c>
      <c r="I9" s="9" t="s">
        <v>15</v>
      </c>
      <c r="J9" s="117" t="s">
        <v>20</v>
      </c>
      <c r="K9" s="118"/>
      <c r="L9" s="10" t="s">
        <v>19</v>
      </c>
      <c r="M9" s="76"/>
      <c r="O9" s="49"/>
      <c r="P9" s="49"/>
      <c r="Q9" s="49"/>
      <c r="R9" s="49"/>
      <c r="S9" s="49"/>
      <c r="T9" s="49"/>
    </row>
    <row r="10" spans="2:20" ht="41.25" customHeight="1" thickTop="1" x14ac:dyDescent="0.45">
      <c r="B10" s="108" t="s">
        <v>12</v>
      </c>
      <c r="C10" s="18">
        <v>42427</v>
      </c>
      <c r="D10" s="24" t="s">
        <v>48</v>
      </c>
      <c r="E10" s="111" t="s">
        <v>49</v>
      </c>
      <c r="F10" s="111"/>
      <c r="G10" s="88">
        <v>196200</v>
      </c>
      <c r="H10" s="90" t="s">
        <v>52</v>
      </c>
      <c r="I10" s="92">
        <v>6</v>
      </c>
      <c r="J10" s="84">
        <f>I10*G10</f>
        <v>1177200</v>
      </c>
      <c r="K10" s="84"/>
      <c r="L10" s="81" t="s">
        <v>53</v>
      </c>
      <c r="M10" s="76"/>
      <c r="O10" s="49"/>
      <c r="P10" s="49"/>
      <c r="Q10" s="49"/>
      <c r="R10" s="49"/>
      <c r="S10" s="49"/>
      <c r="T10" s="49"/>
    </row>
    <row r="11" spans="2:20" ht="41.25" customHeight="1" x14ac:dyDescent="0.45">
      <c r="B11" s="75"/>
      <c r="C11" s="20">
        <v>42429</v>
      </c>
      <c r="D11" s="22" t="s">
        <v>50</v>
      </c>
      <c r="E11" s="83" t="s">
        <v>51</v>
      </c>
      <c r="F11" s="83"/>
      <c r="G11" s="89"/>
      <c r="H11" s="91"/>
      <c r="I11" s="93"/>
      <c r="J11" s="85"/>
      <c r="K11" s="85"/>
      <c r="L11" s="82"/>
      <c r="M11" s="76"/>
      <c r="O11" s="49"/>
      <c r="P11" s="49"/>
      <c r="Q11" s="49"/>
      <c r="R11" s="49"/>
      <c r="S11" s="49"/>
      <c r="T11" s="49"/>
    </row>
    <row r="12" spans="2:20" ht="42" customHeight="1" x14ac:dyDescent="0.45">
      <c r="B12" s="75" t="s">
        <v>10</v>
      </c>
      <c r="C12" s="20">
        <v>42427</v>
      </c>
      <c r="D12" s="22" t="s">
        <v>34</v>
      </c>
      <c r="E12" s="83" t="s">
        <v>44</v>
      </c>
      <c r="F12" s="83"/>
      <c r="G12" s="27">
        <v>121000</v>
      </c>
      <c r="H12" s="19" t="s">
        <v>29</v>
      </c>
      <c r="I12" s="26">
        <v>6</v>
      </c>
      <c r="J12" s="94">
        <f>I12*G12</f>
        <v>726000</v>
      </c>
      <c r="K12" s="95"/>
      <c r="L12" s="25" t="s">
        <v>54</v>
      </c>
      <c r="M12" s="76"/>
      <c r="O12" s="49"/>
      <c r="P12" s="49"/>
      <c r="Q12" s="49"/>
      <c r="R12" s="49"/>
      <c r="S12" s="49"/>
      <c r="T12" s="49"/>
    </row>
    <row r="13" spans="2:20" ht="42" customHeight="1" x14ac:dyDescent="0.45">
      <c r="B13" s="75"/>
      <c r="C13" s="20">
        <v>42428</v>
      </c>
      <c r="D13" s="22" t="s">
        <v>35</v>
      </c>
      <c r="E13" s="83" t="s">
        <v>47</v>
      </c>
      <c r="F13" s="83"/>
      <c r="G13" s="27">
        <v>105000</v>
      </c>
      <c r="H13" s="19">
        <v>18</v>
      </c>
      <c r="I13" s="26">
        <v>6</v>
      </c>
      <c r="J13" s="94">
        <f>I13*G13</f>
        <v>630000</v>
      </c>
      <c r="K13" s="95"/>
      <c r="L13" s="25" t="s">
        <v>55</v>
      </c>
      <c r="M13" s="76"/>
      <c r="O13" s="49"/>
      <c r="P13" s="49"/>
      <c r="Q13" s="49"/>
      <c r="R13" s="49"/>
      <c r="S13" s="49"/>
      <c r="T13" s="49"/>
    </row>
    <row r="14" spans="2:20" ht="42" customHeight="1" x14ac:dyDescent="0.45">
      <c r="B14" s="75"/>
      <c r="C14" s="20">
        <v>42429</v>
      </c>
      <c r="D14" s="22" t="s">
        <v>36</v>
      </c>
      <c r="E14" s="83" t="s">
        <v>45</v>
      </c>
      <c r="F14" s="83"/>
      <c r="G14" s="27">
        <v>85000</v>
      </c>
      <c r="H14" s="19">
        <v>18</v>
      </c>
      <c r="I14" s="26">
        <v>6</v>
      </c>
      <c r="J14" s="94">
        <f>I14*G14</f>
        <v>510000</v>
      </c>
      <c r="K14" s="95"/>
      <c r="L14" s="25" t="s">
        <v>56</v>
      </c>
      <c r="M14" s="76"/>
      <c r="O14" s="49"/>
      <c r="P14" s="49"/>
      <c r="Q14" s="49"/>
      <c r="R14" s="49"/>
      <c r="S14" s="49"/>
      <c r="T14" s="49"/>
    </row>
    <row r="15" spans="2:20" ht="42" customHeight="1" x14ac:dyDescent="0.45">
      <c r="B15" s="113" t="s">
        <v>9</v>
      </c>
      <c r="C15" s="20">
        <v>42427</v>
      </c>
      <c r="D15" s="22" t="s">
        <v>37</v>
      </c>
      <c r="E15" s="83" t="s">
        <v>43</v>
      </c>
      <c r="F15" s="83"/>
      <c r="G15" s="27">
        <v>210000</v>
      </c>
      <c r="H15" s="6">
        <v>1</v>
      </c>
      <c r="I15" s="7">
        <v>2</v>
      </c>
      <c r="J15" s="94">
        <f>I15*H15*G15</f>
        <v>420000</v>
      </c>
      <c r="K15" s="95"/>
      <c r="L15" s="25"/>
      <c r="M15" s="76"/>
      <c r="O15" s="49"/>
      <c r="P15" s="49"/>
      <c r="Q15" s="49"/>
      <c r="R15" s="49"/>
      <c r="S15" s="49"/>
      <c r="T15" s="49"/>
    </row>
    <row r="16" spans="2:20" ht="40.5" customHeight="1" x14ac:dyDescent="0.45">
      <c r="B16" s="114"/>
      <c r="C16" s="20">
        <v>42427</v>
      </c>
      <c r="D16" s="22" t="s">
        <v>38</v>
      </c>
      <c r="E16" s="83" t="s">
        <v>43</v>
      </c>
      <c r="F16" s="83"/>
      <c r="G16" s="27">
        <v>150000</v>
      </c>
      <c r="H16" s="6">
        <v>1</v>
      </c>
      <c r="I16" s="7">
        <v>2</v>
      </c>
      <c r="J16" s="94">
        <f>I16*H16*G16</f>
        <v>300000</v>
      </c>
      <c r="K16" s="95"/>
      <c r="L16" s="25"/>
      <c r="M16" s="76"/>
      <c r="O16" s="49"/>
      <c r="P16" s="49"/>
      <c r="Q16" s="49"/>
      <c r="R16" s="49"/>
      <c r="S16" s="49"/>
      <c r="T16" s="49"/>
    </row>
    <row r="17" spans="2:20" ht="37.5" customHeight="1" x14ac:dyDescent="0.45">
      <c r="B17" s="75" t="s">
        <v>14</v>
      </c>
      <c r="C17" s="20">
        <v>42427</v>
      </c>
      <c r="D17" s="22" t="s">
        <v>39</v>
      </c>
      <c r="E17" s="83" t="s">
        <v>40</v>
      </c>
      <c r="F17" s="83"/>
      <c r="G17" s="89">
        <v>206000</v>
      </c>
      <c r="H17" s="96"/>
      <c r="I17" s="86">
        <v>1</v>
      </c>
      <c r="J17" s="85">
        <f>G17*I17</f>
        <v>206000</v>
      </c>
      <c r="K17" s="85"/>
      <c r="L17" s="102"/>
      <c r="M17" s="76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109"/>
      <c r="C18" s="21">
        <v>42429</v>
      </c>
      <c r="D18" s="23" t="s">
        <v>41</v>
      </c>
      <c r="E18" s="110" t="s">
        <v>42</v>
      </c>
      <c r="F18" s="110"/>
      <c r="G18" s="112"/>
      <c r="H18" s="97"/>
      <c r="I18" s="87"/>
      <c r="J18" s="104"/>
      <c r="K18" s="104"/>
      <c r="L18" s="103"/>
      <c r="M18" s="76"/>
    </row>
    <row r="19" spans="2:20" ht="31.5" customHeight="1" thickTop="1" thickBot="1" x14ac:dyDescent="0.5">
      <c r="B19" s="77" t="s">
        <v>22</v>
      </c>
      <c r="C19" s="78"/>
      <c r="D19" s="78"/>
      <c r="E19" s="78"/>
      <c r="F19" s="78"/>
      <c r="G19" s="78"/>
      <c r="H19" s="78"/>
      <c r="I19" s="79"/>
      <c r="J19" s="98">
        <f>SUM(J10:K18)</f>
        <v>3969200</v>
      </c>
      <c r="K19" s="99"/>
      <c r="L19" s="100"/>
      <c r="M19" s="76"/>
    </row>
    <row r="20" spans="2:20" ht="42" customHeight="1" x14ac:dyDescent="0.45">
      <c r="B20" s="58" t="s">
        <v>30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  <c r="M20" s="76"/>
    </row>
    <row r="21" spans="2:20" x14ac:dyDescent="0.45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3"/>
      <c r="M21" s="76"/>
    </row>
    <row r="22" spans="2:20" x14ac:dyDescent="0.45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3"/>
      <c r="M22" s="76"/>
    </row>
    <row r="23" spans="2:20" ht="17.5" thickBot="1" x14ac:dyDescent="0.5"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6"/>
      <c r="M23" s="76"/>
    </row>
    <row r="24" spans="2:20" x14ac:dyDescent="0.45">
      <c r="J24" s="101"/>
      <c r="K24" s="101"/>
      <c r="M24" s="76"/>
    </row>
    <row r="25" spans="2:20" x14ac:dyDescent="0.45">
      <c r="J25" s="76"/>
      <c r="K25" s="76"/>
      <c r="M25" s="76"/>
    </row>
    <row r="26" spans="2:20" x14ac:dyDescent="0.45">
      <c r="J26" s="76"/>
      <c r="K26" s="76"/>
      <c r="M26" s="76"/>
    </row>
    <row r="27" spans="2:20" x14ac:dyDescent="0.45">
      <c r="J27" s="76"/>
      <c r="K27" s="76"/>
      <c r="M27" s="76"/>
    </row>
    <row r="28" spans="2:20" x14ac:dyDescent="0.45">
      <c r="M28" s="76"/>
    </row>
    <row r="29" spans="2:20" x14ac:dyDescent="0.45">
      <c r="M29" s="76"/>
    </row>
    <row r="30" spans="2:20" x14ac:dyDescent="0.45">
      <c r="M30" s="76"/>
    </row>
    <row r="31" spans="2:20" x14ac:dyDescent="0.45">
      <c r="M31" s="76"/>
    </row>
    <row r="32" spans="2:20" x14ac:dyDescent="0.45">
      <c r="M32" s="76"/>
    </row>
    <row r="33" spans="13:13" x14ac:dyDescent="0.45">
      <c r="M33" s="76"/>
    </row>
    <row r="34" spans="13:13" x14ac:dyDescent="0.45">
      <c r="M34" s="76"/>
    </row>
  </sheetData>
  <mergeCells count="53">
    <mergeCell ref="I3:J3"/>
    <mergeCell ref="J9:K9"/>
    <mergeCell ref="G5:G6"/>
    <mergeCell ref="D6:F6"/>
    <mergeCell ref="E9:F9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J27:K27"/>
    <mergeCell ref="J25:K25"/>
    <mergeCell ref="J19:L19"/>
    <mergeCell ref="J24:K24"/>
    <mergeCell ref="L17:L18"/>
    <mergeCell ref="J17:K18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9"/>
  <sheetViews>
    <sheetView showGridLines="0" tabSelected="1" topLeftCell="A3" zoomScale="70" zoomScaleNormal="70" zoomScaleSheetLayoutView="80" workbookViewId="0">
      <selection activeCell="W7" sqref="W7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2.082031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</cols>
  <sheetData>
    <row r="1" spans="2:14" x14ac:dyDescent="0.45">
      <c r="N1" s="76"/>
    </row>
    <row r="2" spans="2:14" ht="9.75" customHeight="1" x14ac:dyDescent="0.45"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76"/>
    </row>
    <row r="3" spans="2:14" ht="207" customHeight="1" thickBot="1" x14ac:dyDescent="0.5">
      <c r="B3" s="105"/>
      <c r="C3" s="105"/>
      <c r="D3" s="105"/>
      <c r="E3" s="1"/>
      <c r="F3" s="1"/>
      <c r="G3" s="1"/>
      <c r="H3" s="1"/>
      <c r="I3" s="1"/>
      <c r="J3" s="1"/>
      <c r="K3" s="1"/>
      <c r="L3" s="1"/>
      <c r="M3" s="1"/>
      <c r="N3" s="76"/>
    </row>
    <row r="4" spans="2:14" ht="34.5" customHeight="1" x14ac:dyDescent="0.45">
      <c r="B4" s="28" t="s">
        <v>0</v>
      </c>
      <c r="C4" s="149" t="s">
        <v>69</v>
      </c>
      <c r="D4" s="149"/>
      <c r="E4" s="174" t="s">
        <v>61</v>
      </c>
      <c r="F4" s="175"/>
      <c r="G4" s="154" t="s">
        <v>70</v>
      </c>
      <c r="H4" s="155"/>
      <c r="I4" s="155"/>
      <c r="J4" s="155"/>
      <c r="K4" s="156"/>
      <c r="L4" s="30" t="s">
        <v>2</v>
      </c>
      <c r="M4" s="3">
        <f>M5*C5</f>
        <v>21000000</v>
      </c>
      <c r="N4" s="76"/>
    </row>
    <row r="5" spans="2:14" ht="24" customHeight="1" x14ac:dyDescent="0.45">
      <c r="B5" s="29" t="s">
        <v>1</v>
      </c>
      <c r="C5" s="150">
        <v>12</v>
      </c>
      <c r="D5" s="150"/>
      <c r="E5" s="176" t="s">
        <v>16</v>
      </c>
      <c r="F5" s="176"/>
      <c r="G5" s="152" t="s">
        <v>80</v>
      </c>
      <c r="H5" s="157"/>
      <c r="I5" s="31" t="s">
        <v>28</v>
      </c>
      <c r="J5" s="177"/>
      <c r="K5" s="177"/>
      <c r="L5" s="31" t="s">
        <v>60</v>
      </c>
      <c r="M5" s="40">
        <v>1750000</v>
      </c>
      <c r="N5" s="76"/>
    </row>
    <row r="6" spans="2:14" ht="52" customHeight="1" x14ac:dyDescent="0.45">
      <c r="B6" s="151" t="s">
        <v>4</v>
      </c>
      <c r="C6" s="2" t="s">
        <v>5</v>
      </c>
      <c r="D6" s="69" t="str">
        <f>TEXT(L28,"yyyy년 mm월 dd일([$-ko]dddd)")</f>
        <v>2025년 07월 10일(목요일)</v>
      </c>
      <c r="E6" s="70"/>
      <c r="F6" s="70"/>
      <c r="G6" s="71"/>
      <c r="H6" s="157"/>
      <c r="I6" s="31" t="s">
        <v>11</v>
      </c>
      <c r="J6" s="152" t="s">
        <v>77</v>
      </c>
      <c r="K6" s="152"/>
      <c r="L6" s="152"/>
      <c r="M6" s="153"/>
      <c r="N6" s="76"/>
    </row>
    <row r="7" spans="2:14" ht="46.5" customHeight="1" x14ac:dyDescent="0.45">
      <c r="B7" s="151"/>
      <c r="C7" s="33" t="s">
        <v>59</v>
      </c>
      <c r="D7" s="146">
        <f>L28+J28</f>
        <v>45851</v>
      </c>
      <c r="E7" s="147"/>
      <c r="F7" s="147"/>
      <c r="G7" s="148"/>
      <c r="H7" s="157"/>
      <c r="I7" s="32" t="s">
        <v>7</v>
      </c>
      <c r="J7" s="152" t="s">
        <v>78</v>
      </c>
      <c r="K7" s="152"/>
      <c r="L7" s="152"/>
      <c r="M7" s="153"/>
      <c r="N7" s="76"/>
    </row>
    <row r="8" spans="2:14" ht="69.650000000000006" customHeight="1" thickBot="1" x14ac:dyDescent="0.5">
      <c r="B8" s="47" t="s">
        <v>68</v>
      </c>
      <c r="C8" s="171" t="s">
        <v>72</v>
      </c>
      <c r="D8" s="172"/>
      <c r="E8" s="172"/>
      <c r="F8" s="172"/>
      <c r="G8" s="172"/>
      <c r="H8" s="172"/>
      <c r="I8" s="172"/>
      <c r="J8" s="172"/>
      <c r="K8" s="172"/>
      <c r="L8" s="172"/>
      <c r="M8" s="173"/>
      <c r="N8" s="76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6"/>
    </row>
    <row r="10" spans="2:14" ht="30" customHeight="1" x14ac:dyDescent="0.45">
      <c r="B10" s="34" t="s">
        <v>27</v>
      </c>
      <c r="C10" s="35" t="s">
        <v>23</v>
      </c>
      <c r="D10" s="35" t="s">
        <v>24</v>
      </c>
      <c r="E10" s="159" t="s">
        <v>26</v>
      </c>
      <c r="F10" s="159"/>
      <c r="G10" s="160"/>
      <c r="H10" s="35" t="s">
        <v>67</v>
      </c>
      <c r="I10" s="35" t="s">
        <v>3</v>
      </c>
      <c r="J10" s="35" t="s">
        <v>15</v>
      </c>
      <c r="K10" s="161" t="s">
        <v>20</v>
      </c>
      <c r="L10" s="160"/>
      <c r="M10" s="36" t="s">
        <v>19</v>
      </c>
      <c r="N10" s="76"/>
    </row>
    <row r="11" spans="2:14" ht="98.5" customHeight="1" x14ac:dyDescent="0.45">
      <c r="B11" s="113" t="s">
        <v>73</v>
      </c>
      <c r="C11" s="46">
        <f>L28</f>
        <v>45848</v>
      </c>
      <c r="D11" s="45">
        <f>C11</f>
        <v>45848</v>
      </c>
      <c r="E11" s="158" t="s">
        <v>74</v>
      </c>
      <c r="F11" s="158"/>
      <c r="G11" s="158"/>
      <c r="H11" s="162">
        <f>M5</f>
        <v>1750000</v>
      </c>
      <c r="I11" s="37"/>
      <c r="J11" s="38"/>
      <c r="K11" s="165">
        <f>H11*C5</f>
        <v>21000000</v>
      </c>
      <c r="L11" s="166"/>
      <c r="M11" s="39"/>
      <c r="N11" s="76"/>
    </row>
    <row r="12" spans="2:14" ht="79" customHeight="1" x14ac:dyDescent="0.45">
      <c r="B12" s="145"/>
      <c r="C12" s="46">
        <f>C11+1</f>
        <v>45849</v>
      </c>
      <c r="D12" s="45">
        <f>D11+1</f>
        <v>45849</v>
      </c>
      <c r="E12" s="158" t="s">
        <v>75</v>
      </c>
      <c r="F12" s="158"/>
      <c r="G12" s="158"/>
      <c r="H12" s="163"/>
      <c r="I12" s="37">
        <v>18</v>
      </c>
      <c r="J12" s="38">
        <f>C5</f>
        <v>12</v>
      </c>
      <c r="K12" s="167"/>
      <c r="L12" s="168"/>
      <c r="M12" s="39"/>
      <c r="N12" s="76"/>
    </row>
    <row r="13" spans="2:14" ht="78.5" customHeight="1" x14ac:dyDescent="0.45">
      <c r="B13" s="145"/>
      <c r="C13" s="46">
        <f>C12+1</f>
        <v>45850</v>
      </c>
      <c r="D13" s="45">
        <f>D12+1</f>
        <v>45850</v>
      </c>
      <c r="E13" s="158" t="s">
        <v>75</v>
      </c>
      <c r="F13" s="158"/>
      <c r="G13" s="158"/>
      <c r="H13" s="163"/>
      <c r="I13" s="37">
        <v>18</v>
      </c>
      <c r="J13" s="38" t="s">
        <v>71</v>
      </c>
      <c r="K13" s="167"/>
      <c r="L13" s="168"/>
      <c r="M13" s="39"/>
      <c r="N13" s="76"/>
    </row>
    <row r="14" spans="2:14" ht="112.5" customHeight="1" x14ac:dyDescent="0.45">
      <c r="B14" s="114"/>
      <c r="C14" s="46">
        <f>C13+1</f>
        <v>45851</v>
      </c>
      <c r="D14" s="45">
        <f>C14</f>
        <v>45851</v>
      </c>
      <c r="E14" s="158" t="s">
        <v>76</v>
      </c>
      <c r="F14" s="158"/>
      <c r="G14" s="158"/>
      <c r="H14" s="164"/>
      <c r="I14" s="37">
        <v>18</v>
      </c>
      <c r="J14" s="38" t="s">
        <v>71</v>
      </c>
      <c r="K14" s="169"/>
      <c r="L14" s="170"/>
      <c r="M14" s="39"/>
      <c r="N14" s="76"/>
    </row>
    <row r="15" spans="2:14" ht="32.5" customHeight="1" x14ac:dyDescent="0.45">
      <c r="B15" s="133" t="s">
        <v>62</v>
      </c>
      <c r="C15" s="134"/>
      <c r="D15" s="135"/>
      <c r="E15" s="142" t="str">
        <f>"1인당 "&amp;TEXT(M28,"###,###,###")&amp;"원 X "&amp;C5&amp;"명 = "&amp;TEXT(M28*C5,"###,###,###")&amp;"원"</f>
        <v>1인당 800,000원 X 12명 = 9,600,000원</v>
      </c>
      <c r="F15" s="143"/>
      <c r="G15" s="144"/>
      <c r="H15" s="136" t="s">
        <v>63</v>
      </c>
      <c r="I15" s="137"/>
      <c r="J15" s="138"/>
      <c r="K15" s="139">
        <f>K16-M29</f>
        <v>11400000</v>
      </c>
      <c r="L15" s="140"/>
      <c r="M15" s="141"/>
      <c r="N15" s="76"/>
    </row>
    <row r="16" spans="2:14" ht="33.75" customHeight="1" thickBot="1" x14ac:dyDescent="0.5">
      <c r="B16" s="130" t="s">
        <v>58</v>
      </c>
      <c r="C16" s="131"/>
      <c r="D16" s="131"/>
      <c r="E16" s="131"/>
      <c r="F16" s="131"/>
      <c r="G16" s="131"/>
      <c r="H16" s="131"/>
      <c r="I16" s="131"/>
      <c r="J16" s="131"/>
      <c r="K16" s="122">
        <f>M5*C5</f>
        <v>21000000</v>
      </c>
      <c r="L16" s="122"/>
      <c r="M16" s="123"/>
      <c r="N16" s="76"/>
    </row>
    <row r="17" spans="2:14" ht="69" customHeight="1" x14ac:dyDescent="0.45">
      <c r="B17" s="124" t="s">
        <v>79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6"/>
      <c r="N17" s="76"/>
    </row>
    <row r="18" spans="2:14" x14ac:dyDescent="0.45"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9"/>
      <c r="N18" s="76"/>
    </row>
    <row r="19" spans="2:14" x14ac:dyDescent="0.45"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9"/>
      <c r="N19" s="76"/>
    </row>
    <row r="20" spans="2:14" ht="118.5" customHeight="1" thickBot="1" x14ac:dyDescent="0.5">
      <c r="B20" s="127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9"/>
      <c r="N20" s="76"/>
    </row>
    <row r="21" spans="2:14" ht="32.5" customHeight="1" thickBot="1" x14ac:dyDescent="0.5">
      <c r="B21" s="132" t="s">
        <v>64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76"/>
    </row>
    <row r="22" spans="2:14" x14ac:dyDescent="0.45">
      <c r="K22" s="76"/>
      <c r="L22" s="76"/>
    </row>
    <row r="23" spans="2:14" x14ac:dyDescent="0.45">
      <c r="K23" s="76"/>
      <c r="L23" s="76"/>
    </row>
    <row r="24" spans="2:14" x14ac:dyDescent="0.45">
      <c r="K24" s="76"/>
      <c r="L24" s="76"/>
    </row>
    <row r="26" spans="2:14" ht="17.5" thickBot="1" x14ac:dyDescent="0.5"/>
    <row r="27" spans="2:14" ht="17.5" thickBot="1" x14ac:dyDescent="0.5">
      <c r="J27" s="42" t="s">
        <v>66</v>
      </c>
      <c r="L27" s="41" t="s">
        <v>65</v>
      </c>
      <c r="M27" s="42" t="s">
        <v>62</v>
      </c>
    </row>
    <row r="28" spans="2:14" ht="17.5" thickBot="1" x14ac:dyDescent="0.5">
      <c r="J28" s="42">
        <v>3</v>
      </c>
      <c r="L28" s="44">
        <v>45848</v>
      </c>
      <c r="M28" s="43">
        <v>800000</v>
      </c>
    </row>
    <row r="29" spans="2:14" x14ac:dyDescent="0.45">
      <c r="M29">
        <v>9600000</v>
      </c>
    </row>
  </sheetData>
  <mergeCells count="37">
    <mergeCell ref="N1:N21"/>
    <mergeCell ref="D6:G6"/>
    <mergeCell ref="E12:G12"/>
    <mergeCell ref="E14:G14"/>
    <mergeCell ref="E11:G11"/>
    <mergeCell ref="E10:G10"/>
    <mergeCell ref="K10:L10"/>
    <mergeCell ref="H6:H7"/>
    <mergeCell ref="J6:M6"/>
    <mergeCell ref="H11:H14"/>
    <mergeCell ref="K11:L14"/>
    <mergeCell ref="C8:M8"/>
    <mergeCell ref="E4:F4"/>
    <mergeCell ref="E5:F5"/>
    <mergeCell ref="J5:K5"/>
    <mergeCell ref="E13:G13"/>
    <mergeCell ref="B11:B14"/>
    <mergeCell ref="D7:G7"/>
    <mergeCell ref="B2:M2"/>
    <mergeCell ref="B3:D3"/>
    <mergeCell ref="C4:D4"/>
    <mergeCell ref="C5:D5"/>
    <mergeCell ref="B6:B7"/>
    <mergeCell ref="J7:M7"/>
    <mergeCell ref="G4:K4"/>
    <mergeCell ref="G5:H5"/>
    <mergeCell ref="B15:D15"/>
    <mergeCell ref="H15:J15"/>
    <mergeCell ref="K15:M15"/>
    <mergeCell ref="E15:G15"/>
    <mergeCell ref="K22:L22"/>
    <mergeCell ref="K24:L24"/>
    <mergeCell ref="K23:L23"/>
    <mergeCell ref="K16:M16"/>
    <mergeCell ref="B17:M20"/>
    <mergeCell ref="B16:J16"/>
    <mergeCell ref="B21:M21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2025-12-04T12:46:56Z</dcterms:modified>
</cp:coreProperties>
</file>